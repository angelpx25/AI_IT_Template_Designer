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IT_Template_Designer\appdata\pfdesigner\templates\clients\ITS\"/>
    </mc:Choice>
  </mc:AlternateContent>
  <xr:revisionPtr revIDLastSave="0" documentId="13_ncr:1_{9B3AEC10-C946-4DC5-9461-4CC20A8AD150}" xr6:coauthVersionLast="47" xr6:coauthVersionMax="47" xr10:uidLastSave="{00000000-0000-0000-0000-000000000000}"/>
  <bookViews>
    <workbookView xWindow="435" yWindow="-13725" windowWidth="21600" windowHeight="11295" xr2:uid="{00000000-000D-0000-FFFF-FFFF00000000}"/>
  </bookViews>
  <sheets>
    <sheet name="V(1)" sheetId="5" r:id="rId1"/>
  </sheets>
  <definedNames>
    <definedName name="_xlnm.Print_Area" localSheetId="0">'V(1)'!$A$1:$D$62</definedName>
    <definedName name="ProductDetails.aspx?id_US01__9500__10__YL9222" localSheetId="0">'V(1)'!#REF!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31" i="5" l="1"/>
  <c r="O31" i="5" s="1"/>
  <c r="N28" i="5"/>
  <c r="O28" i="5" s="1"/>
  <c r="E60" i="5" l="1"/>
  <c r="J18" i="5" s="1"/>
  <c r="O18" i="5" s="1"/>
  <c r="N22" i="5"/>
  <c r="O22" i="5" s="1"/>
  <c r="N21" i="5"/>
  <c r="O21" i="5" l="1"/>
  <c r="D60" i="5" l="1"/>
  <c r="J17" i="5" s="1"/>
  <c r="O17" i="5" s="1"/>
  <c r="O25" i="5" s="1"/>
  <c r="O32" i="5" s="1"/>
</calcChain>
</file>

<file path=xl/sharedStrings.xml><?xml version="1.0" encoding="utf-8"?>
<sst xmlns="http://schemas.openxmlformats.org/spreadsheetml/2006/main" count="106" uniqueCount="90">
  <si>
    <t>PPU</t>
  </si>
  <si>
    <t>Plan:</t>
  </si>
  <si>
    <t>Project Management Services:</t>
  </si>
  <si>
    <t>Project coordination with stakeholders</t>
  </si>
  <si>
    <t>Record project plan in ConnectWise</t>
  </si>
  <si>
    <t>Prepare:</t>
  </si>
  <si>
    <t>Implement:</t>
  </si>
  <si>
    <t>Operate:</t>
  </si>
  <si>
    <t>Optimize:</t>
  </si>
  <si>
    <t>Estimated Project Services:</t>
  </si>
  <si>
    <t>Resource scheduling</t>
  </si>
  <si>
    <t>Hours</t>
  </si>
  <si>
    <t>Create Test Plan and Critical Path Milestones List:</t>
  </si>
  <si>
    <t>Project Name:</t>
  </si>
  <si>
    <t>Business Requirements:</t>
  </si>
  <si>
    <t>Products and Services (Non-Recurring Fees)</t>
  </si>
  <si>
    <t>Extended Price</t>
  </si>
  <si>
    <t>Project documentation assignment to PEs</t>
  </si>
  <si>
    <t>Proposal Notes</t>
  </si>
  <si>
    <t>Project Work Plan</t>
  </si>
  <si>
    <t>Non Recurring Fees Total:</t>
  </si>
  <si>
    <t>Determine end user communication plan with client</t>
  </si>
  <si>
    <t>Create a core business function test plan</t>
  </si>
  <si>
    <t>Knowledge transfer to PEs</t>
  </si>
  <si>
    <t>Procurement</t>
  </si>
  <si>
    <t>Cost</t>
  </si>
  <si>
    <t>Create &amp; Distribute Project Announcements:</t>
  </si>
  <si>
    <t>Project Commencement, Purpose, and Schedule</t>
  </si>
  <si>
    <t>Day Prior to Maintenance Window</t>
  </si>
  <si>
    <t>15 Minutes Prior to Maintenance Window</t>
  </si>
  <si>
    <t>Maintenance Window Has Ended</t>
  </si>
  <si>
    <t>MSRP</t>
  </si>
  <si>
    <t>Disti Part Number</t>
  </si>
  <si>
    <t>MFG Part number</t>
  </si>
  <si>
    <t>Professional Services:</t>
  </si>
  <si>
    <t>Success Criteria:</t>
  </si>
  <si>
    <t>Markup</t>
  </si>
  <si>
    <t>sample product</t>
  </si>
  <si>
    <t>MFG Part Number</t>
  </si>
  <si>
    <t>Quantity</t>
  </si>
  <si>
    <t>After Hours</t>
  </si>
  <si>
    <t>ITS Professional Services</t>
  </si>
  <si>
    <t>ITS Professional Services - After Hours</t>
  </si>
  <si>
    <t>Products and Services - Recurring Fees</t>
  </si>
  <si>
    <t>Products and Services - Non Recurring Fees</t>
  </si>
  <si>
    <t>Prepare for and conduct project status meetings</t>
  </si>
  <si>
    <t>Quote Azure, for all instances of an azure deployment must quote:</t>
  </si>
  <si>
    <t>FortiGate-VM02 Virtual Firewall SKU:FG-VM02</t>
  </si>
  <si>
    <t>FortiGate-VM Advanced Threat Protection (1 Year) SKU: FC-10-FVM02-929-02-DD</t>
  </si>
  <si>
    <t>Use Nerdio Pricing and include Nerdio licensing</t>
  </si>
  <si>
    <t>Proposal Name [Ticket]</t>
  </si>
  <si>
    <t>mtime1</t>
  </si>
  <si>
    <t>mtime2</t>
  </si>
  <si>
    <t>mtime3</t>
  </si>
  <si>
    <t>Enter Business Requirements</t>
  </si>
  <si>
    <t>&lt;Success Criteria&gt;</t>
  </si>
  <si>
    <r>
      <rPr>
        <b/>
        <sz val="12"/>
        <rFont val="Arial"/>
        <family val="2"/>
      </rPr>
      <t xml:space="preserve">Projected Project Start Date: </t>
    </r>
    <r>
      <rPr>
        <sz val="12"/>
        <rFont val="Arial"/>
        <family val="2"/>
      </rPr>
      <t>6 to 8 weeks after proposal signoff</t>
    </r>
  </si>
  <si>
    <r>
      <rPr>
        <b/>
        <sz val="12"/>
        <rFont val="Arial"/>
        <family val="2"/>
      </rPr>
      <t>Projected Project Completion Date:</t>
    </r>
    <r>
      <rPr>
        <sz val="12"/>
        <rFont val="Arial"/>
        <family val="2"/>
      </rPr>
      <t xml:space="preserve"> 5 weeks post project commencement&gt;</t>
    </r>
  </si>
  <si>
    <t>Confirm Established Business Requirements:</t>
  </si>
  <si>
    <t>Monthly Recurring Fees Total:</t>
  </si>
  <si>
    <t>Attend internal knowledge transfer meeting</t>
  </si>
  <si>
    <t>Review business requirements, proposed services, and solutions</t>
  </si>
  <si>
    <t xml:space="preserve">Don’t include Microsoft 365 licensing, just recommend a quantity in an orange box so that the PS team can evaluate it and procure the correct amount. They still want Windows licensing.
</t>
  </si>
  <si>
    <t>Review product selection</t>
  </si>
  <si>
    <t>Attend project status meetings</t>
  </si>
  <si>
    <t>Review manufacturer best practices for products implementation</t>
  </si>
  <si>
    <t>Optimize Solution Configuration:</t>
  </si>
  <si>
    <t>On-site and remote standby support</t>
  </si>
  <si>
    <t>Resolve operational anomalies</t>
  </si>
  <si>
    <t>Project Closure:</t>
  </si>
  <si>
    <t>Enter configuration documentation into IT Glue and ConnectWise</t>
  </si>
  <si>
    <t>Knowledge transfer meeting to ITS technical support staff</t>
  </si>
  <si>
    <t>Client verification of solution</t>
  </si>
  <si>
    <t>Distribute project satisfaction survey</t>
  </si>
  <si>
    <t>Notify finance to begin billing of recurring services</t>
  </si>
  <si>
    <t>Project closure</t>
  </si>
  <si>
    <t>This proposal assumes that the client already owns the required Microsoft 365 licensing. If additional Microsoft 365 licensing is required then it will be proposed separately.</t>
  </si>
  <si>
    <t>SSL certificates are not included in this proposal. If necessary they will be proposed separately.</t>
  </si>
  <si>
    <t>Power management upgrades have not been included in this proposal. If required, these products will be proposed separately.</t>
  </si>
  <si>
    <t>Additional AC power connections are not included in this proposal. If required, provisioning of additional AC outlets will be the client's responsibility.</t>
  </si>
  <si>
    <t>IP scheme design and changes have not been proposed. If required, these services will be proposed separately.</t>
  </si>
  <si>
    <t xml:space="preserve">Structured network cabling is not included in this proposal. </t>
  </si>
  <si>
    <t xml:space="preserve">Proposal assumes in place cabling is capable of gigabit data transfer rates. </t>
  </si>
  <si>
    <t>This proposal does not include extensive cable management or cabling cleanup in MDFs and IDFs. If required, additional products and services will be proposed separately.</t>
  </si>
  <si>
    <t>Disposal and recycling of electronic equipment is not included in this proposal. If necessary, these services will be proposed separately.</t>
  </si>
  <si>
    <t>Client stakeholders must be available to test proposed solutions upon completion of the implementation.</t>
  </si>
  <si>
    <t>Client assistance with end user communication plan, including direction of the timing of release of communications, will be required.</t>
  </si>
  <si>
    <t>This proposal does not include shipping and handling charges. These charges, if applicable, will be added to the client invoice.</t>
  </si>
  <si>
    <t>Proposal does not include applicable taxes. Tax will be added to the client invoices.</t>
  </si>
  <si>
    <t>This proposal and workplan is protected by copyright under U.S. Copyright Laws and is the property of the original author. You may not copy, reproduce, distribute, publish, display, modify, create derivative works, or transmit this content to any other business, individual, or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</si>
</sst>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2" x14ac:knownFonts="1">
    <font>
      <sz val="11"/>
      <color theme="1"/>
      <name val="Calibri"/>
      <family val="2"/>
      <scheme val="minor"/>
    </font>
    <font>
      <sz val="11"/>
      <color theme="0"/>
      <name val="Calibri"/>
      <family val="2"/>
      <scheme val="minor"/>
    </font>
    <font>
      <sz val="10"/>
      <name val="Arial"/>
      <family val="2"/>
    </font>
    <font>
      <u/>
      <sz val="11"/>
      <color theme="10"/>
      <name val="Calibri"/>
      <family val="2"/>
      <scheme val="minor"/>
    </font>
    <font>
      <sz val="12"/>
      <name val="Arial"/>
      <family val="2"/>
    </font>
    <font>
      <sz val="12"/>
      <color theme="1"/>
      <name val="Calibri"/>
      <family val="2"/>
      <scheme val="minor"/>
    </font>
    <font>
      <u/>
      <sz val="12"/>
      <name val="Arial"/>
      <family val="2"/>
    </font>
    <font>
      <b/>
      <sz val="12"/>
      <name val="Arial"/>
      <family val="2"/>
    </font>
    <font>
      <sz val="12"/>
      <name val="Calibri"/>
      <family val="2"/>
      <scheme val="minor"/>
    </font>
    <font>
      <b/>
      <sz val="12"/>
      <color theme="0"/>
      <name val="Arial"/>
      <family val="2"/>
    </font>
    <font>
      <sz val="10"/>
      <name val="Calibri"/>
      <family val="2"/>
      <scheme val="minor"/>
    </font>
    <font>
      <sz val="11"/>
      <color theme="1"/>
      <name val="Calibri"/>
      <family val="2"/>
      <scheme val="minor"/>
    </font>
    <font>
      <sz val="12"/>
      <color rgb="FFFF0000"/>
      <name val="Arial"/>
      <family val="2"/>
    </font>
    <font>
      <sz val="12"/>
      <color rgb="FFFF0000"/>
      <name val="Calibri"/>
      <family val="2"/>
      <scheme val="minor"/>
    </font>
    <font>
      <sz val="12"/>
      <color rgb="FF00B050"/>
      <name val="Calibri"/>
      <family val="2"/>
      <scheme val="minor"/>
    </font>
    <font>
      <sz val="10"/>
      <color rgb="FF00B050"/>
      <name val="Trebuchet MS"/>
      <family val="2"/>
    </font>
    <font>
      <sz val="12"/>
      <color theme="1"/>
      <name val="Arial"/>
      <family val="2"/>
    </font>
    <font>
      <sz val="12"/>
      <color theme="0"/>
      <name val="Arial"/>
      <family val="2"/>
    </font>
    <font>
      <b/>
      <u/>
      <sz val="12"/>
      <name val="Calibri"/>
      <family val="2"/>
      <scheme val="minor"/>
    </font>
    <font>
      <sz val="11"/>
      <color rgb="FFFF0000"/>
      <name val="Calibri"/>
      <family val="2"/>
      <scheme val="minor"/>
    </font>
    <font>
      <sz val="12"/>
      <color rgb="FF00B0F0"/>
      <name val="Calibri"/>
      <family val="2"/>
      <scheme val="minor"/>
    </font>
    <font>
      <sz val="12"/>
      <color rgb="FF00B0F0"/>
      <name val="Arial"/>
      <family val="2"/>
    </font>
  </fonts>
  <fills count="6">
    <fill>
      <patternFill patternType="none"/>
    </fill>
    <fill>
      <patternFill patternType="gray125"/>
    </fill>
    <fill>
      <patternFill patternType="solid">
        <fgColor theme="5"/>
      </patternFill>
    </fill>
    <fill>
      <patternFill patternType="solid">
        <fgColor theme="4" tint="-0.249977111117893"/>
        <bgColor indexed="64"/>
      </patternFill>
    </fill>
    <fill>
      <patternFill patternType="solid">
        <fgColor rgb="FFDD9B23"/>
        <bgColor indexed="64"/>
      </patternFill>
    </fill>
    <fill>
      <patternFill patternType="solid">
        <fgColor theme="0" tint="-4.9989318521683403E-2"/>
        <bgColor indexed="64"/>
      </patternFill>
    </fill>
  </fills>
  <borders count="1">
    <border>
      <left/>
      <right/>
      <top/>
      <bottom/>
      <diagonal/>
    </border>
  </borders>
  <cellStyleXfs count="12">
    <xf numFmtId="0" fontId="0" fillId="0" borderId="0"/>
    <xf numFmtId="0" fontId="1" fillId="2" borderId="0" applyNumberFormat="0" applyBorder="0" applyAlignment="0" applyProtection="0"/>
    <xf numFmtId="0" fontId="2" fillId="0" borderId="0"/>
    <xf numFmtId="0" fontId="3" fillId="0" borderId="0" applyNumberFormat="0" applyFill="0" applyBorder="0" applyAlignment="0" applyProtection="0"/>
    <xf numFmtId="44" fontId="2" fillId="0" borderId="0" applyFont="0" applyFill="0" applyBorder="0" applyAlignment="0" applyProtection="0"/>
    <xf numFmtId="44" fontId="11" fillId="0" borderId="0" applyFont="0" applyFill="0" applyBorder="0" applyAlignment="0" applyProtection="0"/>
    <xf numFmtId="0" fontId="2" fillId="0" borderId="0"/>
    <xf numFmtId="0" fontId="2" fillId="0" borderId="0"/>
    <xf numFmtId="0" fontId="2" fillId="0" borderId="0"/>
    <xf numFmtId="0" fontId="2" fillId="0" borderId="0"/>
    <xf numFmtId="0" fontId="11" fillId="0" borderId="0"/>
    <xf numFmtId="9" fontId="11" fillId="0" borderId="0" applyFont="0" applyFill="0" applyBorder="0" applyAlignment="0" applyProtection="0"/>
  </cellStyleXfs>
  <cellXfs count="86">
    <xf numFmtId="0" fontId="0" fillId="0" borderId="0" xfId="0"/>
    <xf numFmtId="0" fontId="5" fillId="0" borderId="0" xfId="0" applyFont="1"/>
    <xf numFmtId="0" fontId="4" fillId="0" borderId="0" xfId="0" applyFont="1"/>
    <xf numFmtId="0" fontId="7" fillId="0" borderId="0" xfId="0" applyFont="1"/>
    <xf numFmtId="2" fontId="4" fillId="0" borderId="0" xfId="2" applyNumberFormat="1" applyFont="1" applyAlignment="1">
      <alignment horizontal="center"/>
    </xf>
    <xf numFmtId="0" fontId="8" fillId="0" borderId="0" xfId="0" applyFont="1"/>
    <xf numFmtId="0" fontId="4" fillId="0" borderId="0" xfId="2" applyFont="1" applyAlignment="1">
      <alignment horizontal="left"/>
    </xf>
    <xf numFmtId="0" fontId="4" fillId="0" borderId="0" xfId="0" applyFont="1" applyAlignment="1">
      <alignment vertical="center"/>
    </xf>
    <xf numFmtId="0" fontId="5" fillId="0" borderId="0" xfId="0" applyFont="1" applyAlignment="1">
      <alignment vertical="center"/>
    </xf>
    <xf numFmtId="0" fontId="7" fillId="0" borderId="0" xfId="0" applyFont="1" applyAlignment="1">
      <alignment vertical="center"/>
    </xf>
    <xf numFmtId="0" fontId="6" fillId="0" borderId="0" xfId="0" applyFont="1" applyAlignment="1">
      <alignment vertical="center"/>
    </xf>
    <xf numFmtId="2" fontId="7" fillId="0" borderId="0" xfId="0" applyNumberFormat="1" applyFont="1" applyAlignment="1">
      <alignment horizontal="center" vertical="center"/>
    </xf>
    <xf numFmtId="2" fontId="4" fillId="0" borderId="0" xfId="0" applyNumberFormat="1" applyFont="1" applyAlignment="1">
      <alignment horizontal="center" vertical="center"/>
    </xf>
    <xf numFmtId="0" fontId="10" fillId="0" borderId="0" xfId="0" applyFont="1"/>
    <xf numFmtId="0" fontId="4" fillId="0" borderId="0" xfId="2" applyFont="1"/>
    <xf numFmtId="0" fontId="6" fillId="0" borderId="0" xfId="2" applyFont="1"/>
    <xf numFmtId="0" fontId="6" fillId="0" borderId="0" xfId="0" applyFont="1"/>
    <xf numFmtId="0" fontId="5" fillId="0" borderId="0" xfId="0" applyFont="1" applyAlignment="1">
      <alignment horizontal="center"/>
    </xf>
    <xf numFmtId="0" fontId="10" fillId="0" borderId="0" xfId="0" applyFont="1" applyAlignment="1">
      <alignment horizontal="center"/>
    </xf>
    <xf numFmtId="44" fontId="5" fillId="0" borderId="0" xfId="5" applyFont="1"/>
    <xf numFmtId="0" fontId="4" fillId="0" borderId="0" xfId="2" applyFont="1" applyAlignment="1">
      <alignment horizontal="left" indent="1"/>
    </xf>
    <xf numFmtId="2" fontId="12" fillId="0" borderId="0" xfId="0" applyNumberFormat="1" applyFont="1" applyAlignment="1">
      <alignment horizontal="center" vertical="center"/>
    </xf>
    <xf numFmtId="0" fontId="6" fillId="0" borderId="0" xfId="0" applyFont="1" applyAlignment="1">
      <alignment horizontal="left"/>
    </xf>
    <xf numFmtId="44" fontId="14" fillId="0" borderId="0" xfId="5" applyFont="1"/>
    <xf numFmtId="0" fontId="12" fillId="0" borderId="0" xfId="0" applyFont="1"/>
    <xf numFmtId="2" fontId="4" fillId="0" borderId="0" xfId="2" applyNumberFormat="1" applyFont="1" applyAlignment="1">
      <alignment horizontal="center" vertical="center"/>
    </xf>
    <xf numFmtId="0" fontId="15" fillId="0" borderId="0" xfId="0" applyFont="1"/>
    <xf numFmtId="164" fontId="7" fillId="0" borderId="0" xfId="0" applyNumberFormat="1" applyFont="1"/>
    <xf numFmtId="14" fontId="4" fillId="0" borderId="0" xfId="0" applyNumberFormat="1" applyFont="1" applyAlignment="1">
      <alignment horizontal="right"/>
    </xf>
    <xf numFmtId="0" fontId="4" fillId="0" borderId="0" xfId="0" applyFont="1" applyAlignment="1">
      <alignment horizontal="center"/>
    </xf>
    <xf numFmtId="0" fontId="9" fillId="3" borderId="0" xfId="0" applyFont="1" applyFill="1" applyAlignment="1">
      <alignment vertical="center"/>
    </xf>
    <xf numFmtId="2" fontId="9" fillId="3" borderId="0" xfId="0" applyNumberFormat="1" applyFont="1" applyFill="1" applyAlignment="1">
      <alignment horizontal="center" vertical="center"/>
    </xf>
    <xf numFmtId="0" fontId="9" fillId="3" borderId="0" xfId="1" applyFont="1" applyFill="1" applyAlignment="1">
      <alignment horizontal="left"/>
    </xf>
    <xf numFmtId="0" fontId="9" fillId="3" borderId="0" xfId="1" applyFont="1" applyFill="1" applyAlignment="1">
      <alignment horizontal="right"/>
    </xf>
    <xf numFmtId="0" fontId="9" fillId="3" borderId="0" xfId="1" applyFont="1" applyFill="1" applyAlignment="1">
      <alignment horizontal="center"/>
    </xf>
    <xf numFmtId="0" fontId="9" fillId="4" borderId="0" xfId="0" applyFont="1" applyFill="1" applyAlignment="1">
      <alignment horizontal="center" vertical="center"/>
    </xf>
    <xf numFmtId="0" fontId="9" fillId="4" borderId="0" xfId="0" applyFont="1" applyFill="1" applyAlignment="1">
      <alignment vertical="center"/>
    </xf>
    <xf numFmtId="0" fontId="4" fillId="0" borderId="0" xfId="0" applyFont="1" applyAlignment="1">
      <alignment horizontal="left" vertical="center" wrapText="1"/>
    </xf>
    <xf numFmtId="0" fontId="12" fillId="0" borderId="0" xfId="0" applyFont="1" applyAlignment="1">
      <alignment horizontal="left" vertical="center" wrapText="1"/>
    </xf>
    <xf numFmtId="0" fontId="7" fillId="0" borderId="0" xfId="0" applyFont="1" applyAlignment="1">
      <alignment horizontal="center" vertical="center"/>
    </xf>
    <xf numFmtId="0" fontId="9" fillId="0" borderId="0" xfId="1" applyFont="1" applyFill="1" applyBorder="1" applyAlignment="1">
      <alignment horizontal="center" vertical="center"/>
    </xf>
    <xf numFmtId="2" fontId="9" fillId="0" borderId="0" xfId="0" applyNumberFormat="1" applyFont="1" applyAlignment="1">
      <alignment vertical="center"/>
    </xf>
    <xf numFmtId="44" fontId="16" fillId="0" borderId="0" xfId="5" applyFont="1"/>
    <xf numFmtId="0" fontId="16" fillId="0" borderId="0" xfId="0" applyFont="1" applyAlignment="1">
      <alignment horizontal="center"/>
    </xf>
    <xf numFmtId="0" fontId="16" fillId="0" borderId="0" xfId="0" applyFont="1"/>
    <xf numFmtId="44" fontId="16" fillId="0" borderId="0" xfId="0" applyNumberFormat="1" applyFont="1"/>
    <xf numFmtId="44" fontId="4" fillId="0" borderId="0" xfId="5" applyFont="1"/>
    <xf numFmtId="0" fontId="16" fillId="0" borderId="0" xfId="0" applyFont="1" applyAlignment="1">
      <alignment horizontal="center" vertical="center"/>
    </xf>
    <xf numFmtId="0" fontId="4" fillId="0" borderId="0" xfId="5" applyNumberFormat="1" applyFont="1"/>
    <xf numFmtId="0" fontId="4" fillId="0" borderId="0" xfId="5" applyNumberFormat="1" applyFont="1" applyAlignment="1">
      <alignment horizontal="center"/>
    </xf>
    <xf numFmtId="2" fontId="9" fillId="3" borderId="0" xfId="0" applyNumberFormat="1" applyFont="1" applyFill="1"/>
    <xf numFmtId="164" fontId="9" fillId="3" borderId="0" xfId="0" applyNumberFormat="1" applyFont="1" applyFill="1" applyAlignment="1">
      <alignment horizontal="center"/>
    </xf>
    <xf numFmtId="44" fontId="9" fillId="3" borderId="0" xfId="5" applyFont="1" applyFill="1" applyAlignment="1">
      <alignment horizontal="left"/>
    </xf>
    <xf numFmtId="44" fontId="12" fillId="0" borderId="0" xfId="5" applyFont="1"/>
    <xf numFmtId="39" fontId="12" fillId="0" borderId="0" xfId="5" applyNumberFormat="1" applyFont="1" applyAlignment="1">
      <alignment horizontal="center"/>
    </xf>
    <xf numFmtId="0" fontId="12" fillId="0" borderId="0" xfId="0" applyFont="1" applyAlignment="1">
      <alignment horizontal="center" vertical="center"/>
    </xf>
    <xf numFmtId="9" fontId="12" fillId="0" borderId="0" xfId="11" applyFont="1"/>
    <xf numFmtId="44" fontId="4" fillId="0" borderId="0" xfId="5" applyFont="1" applyAlignment="1">
      <alignment horizontal="center"/>
    </xf>
    <xf numFmtId="0" fontId="2" fillId="0" borderId="0" xfId="0" applyFont="1"/>
    <xf numFmtId="0" fontId="13" fillId="0" borderId="0" xfId="0" applyFont="1"/>
    <xf numFmtId="0" fontId="9" fillId="0" borderId="0" xfId="0" applyFont="1" applyAlignment="1">
      <alignment vertical="center"/>
    </xf>
    <xf numFmtId="39" fontId="12" fillId="0" borderId="0" xfId="5" applyNumberFormat="1" applyFont="1" applyBorder="1" applyAlignment="1">
      <alignment horizontal="center"/>
    </xf>
    <xf numFmtId="0" fontId="4" fillId="0" borderId="0" xfId="1" applyFont="1" applyFill="1" applyBorder="1" applyAlignment="1">
      <alignment horizontal="left" vertical="center" wrapText="1"/>
    </xf>
    <xf numFmtId="0" fontId="17" fillId="0" borderId="0" xfId="0" applyFont="1"/>
    <xf numFmtId="2" fontId="4" fillId="5" borderId="0" xfId="2" applyNumberFormat="1" applyFont="1" applyFill="1" applyAlignment="1">
      <alignment horizontal="center"/>
    </xf>
    <xf numFmtId="44" fontId="14" fillId="0" borderId="0" xfId="5" applyFont="1" applyFill="1" applyBorder="1"/>
    <xf numFmtId="44" fontId="5" fillId="0" borderId="0" xfId="5" applyFont="1" applyFill="1" applyBorder="1"/>
    <xf numFmtId="0" fontId="9" fillId="0" borderId="0" xfId="0" applyFont="1" applyAlignment="1">
      <alignment horizontal="center" vertical="center"/>
    </xf>
    <xf numFmtId="2" fontId="9" fillId="0" borderId="0" xfId="0" applyNumberFormat="1" applyFont="1" applyAlignment="1">
      <alignment horizontal="center" vertical="center"/>
    </xf>
    <xf numFmtId="0" fontId="18" fillId="0" borderId="0" xfId="0" applyFont="1"/>
    <xf numFmtId="0" fontId="19" fillId="0" borderId="0" xfId="0" applyFont="1"/>
    <xf numFmtId="44" fontId="16" fillId="0" borderId="0" xfId="0" applyNumberFormat="1" applyFont="1" applyAlignment="1">
      <alignment horizontal="center"/>
    </xf>
    <xf numFmtId="2" fontId="4" fillId="0" borderId="0" xfId="0" applyNumberFormat="1" applyFont="1" applyAlignment="1">
      <alignment horizontal="center"/>
    </xf>
    <xf numFmtId="0" fontId="4" fillId="0" borderId="0" xfId="0" applyFont="1" applyAlignment="1">
      <alignment horizontal="left" vertical="center" wrapText="1"/>
    </xf>
    <xf numFmtId="0" fontId="9" fillId="3" borderId="0" xfId="1" applyFont="1" applyFill="1" applyAlignment="1"/>
    <xf numFmtId="0" fontId="4" fillId="0" borderId="0" xfId="1" applyFont="1" applyFill="1" applyAlignment="1">
      <alignment horizontal="left" vertical="center" wrapText="1"/>
    </xf>
    <xf numFmtId="0" fontId="20" fillId="0" borderId="0" xfId="0" applyFont="1"/>
    <xf numFmtId="0" fontId="4" fillId="0" borderId="0" xfId="1" applyFont="1" applyFill="1" applyAlignment="1">
      <alignment vertical="center" wrapText="1"/>
    </xf>
    <xf numFmtId="0" fontId="12" fillId="0" borderId="0" xfId="1" applyFont="1" applyFill="1" applyAlignment="1">
      <alignment horizontal="left" vertical="center" wrapText="1"/>
    </xf>
    <xf numFmtId="0" fontId="12" fillId="0" borderId="0" xfId="1" applyFont="1" applyFill="1" applyAlignment="1">
      <alignment vertical="center" wrapText="1"/>
    </xf>
    <xf numFmtId="0" fontId="9" fillId="3" borderId="0" xfId="1" applyFont="1" applyFill="1" applyAlignment="1">
      <alignment horizontal="center"/>
    </xf>
    <xf numFmtId="0" fontId="4" fillId="0" borderId="0" xfId="0" applyFont="1" applyAlignment="1">
      <alignment horizontal="left" vertical="center" wrapText="1"/>
    </xf>
    <xf numFmtId="0" fontId="9" fillId="3" borderId="0" xfId="1" applyFont="1" applyFill="1" applyAlignment="1">
      <alignment horizontal="center" vertical="center"/>
    </xf>
    <xf numFmtId="0" fontId="12" fillId="0" borderId="0" xfId="2" applyFont="1" applyAlignment="1">
      <alignment horizontal="left"/>
    </xf>
    <xf numFmtId="0" fontId="12" fillId="0" borderId="0" xfId="0" applyFont="1" applyAlignment="1">
      <alignment vertical="center"/>
    </xf>
    <xf numFmtId="0" fontId="21" fillId="0" borderId="0" xfId="0" applyFont="1" applyAlignment="1">
      <alignment horizontal="left" vertical="center" wrapText="1"/>
    </xf>
  </cellXfs>
  <cellStyles count="12">
    <cellStyle name="Accent2" xfId="1" builtinId="33"/>
    <cellStyle name="Currency" xfId="5" builtinId="4"/>
    <cellStyle name="Currency 2" xfId="4" xr:uid="{00000000-0005-0000-0000-000002000000}"/>
    <cellStyle name="Hyperlink 2" xfId="3" xr:uid="{00000000-0005-0000-0000-000004000000}"/>
    <cellStyle name="Normal" xfId="0" builtinId="0"/>
    <cellStyle name="Normal 2" xfId="2" xr:uid="{00000000-0005-0000-0000-000006000000}"/>
    <cellStyle name="Normal 2 2" xfId="7" xr:uid="{D9FDD43D-0794-49EF-A3A9-765135D0D43E}"/>
    <cellStyle name="Normal 2 2 2" xfId="8" xr:uid="{46457D6D-2F66-413A-BC48-9D0D11941E70}"/>
    <cellStyle name="Normal 3" xfId="6" xr:uid="{A95102E6-DD57-456D-B9B4-5BB0D74816FC}"/>
    <cellStyle name="Normal 4" xfId="9" xr:uid="{DFADD169-2D40-445F-8C5B-A3FC70F9E747}"/>
    <cellStyle name="Normal 5" xfId="10" xr:uid="{00000000-0005-0000-0000-000008000000}"/>
    <cellStyle name="Percent" xfId="11" builtinId="5"/>
  </cellStyles>
  <dxfs count="0"/>
  <tableStyles count="0" defaultTableStyle="TableStyleMedium2" defaultPivotStyle="PivotStyleLight16"/>
  <colors>
    <mruColors>
      <color rgb="FFDD9B23"/>
      <color rgb="FF003399"/>
      <color rgb="FF33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11</xdr:col>
      <xdr:colOff>1129392</xdr:colOff>
      <xdr:row>3</xdr:row>
      <xdr:rowOff>68035</xdr:rowOff>
    </xdr:from>
    <xdr:ext cx="5153269" cy="2100386"/>
    <xdr:sp macro="" textlink="">
      <xdr:nvSpPr>
        <xdr:cNvPr id="3" name="TextBox 2">
          <a:extLst>
            <a:ext uri="{FF2B5EF4-FFF2-40B4-BE49-F238E27FC236}">
              <a16:creationId xmlns:a16="http://schemas.microsoft.com/office/drawing/2014/main" id="{7D5834F4-380C-466E-8030-1BA0734D3F56}"/>
            </a:ext>
          </a:extLst>
        </xdr:cNvPr>
        <xdr:cNvSpPr txBox="1"/>
      </xdr:nvSpPr>
      <xdr:spPr>
        <a:xfrm>
          <a:off x="20329071" y="680356"/>
          <a:ext cx="5153269" cy="210038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u="sng"/>
            <a:t>MSP Proposal</a:t>
          </a:r>
          <a:r>
            <a:rPr lang="en-US" sz="1200" b="1" u="sng" baseline="0"/>
            <a:t> Notes:</a:t>
          </a:r>
        </a:p>
        <a:p>
          <a:pPr algn="ctr"/>
          <a:endParaRPr lang="en-US" sz="1200" b="1" u="sng" baseline="0"/>
        </a:p>
        <a:p>
          <a:pPr marL="171450" indent="-171450" algn="l">
            <a:buFont typeface="Arial" panose="020B0604020202020204" pitchFamily="34" charset="0"/>
            <a:buChar char="•"/>
          </a:pPr>
          <a:r>
            <a:rPr lang="en-US" sz="1200" b="0" u="none" baseline="0"/>
            <a:t>Note1</a:t>
          </a:r>
          <a:endParaRPr lang="en-US" sz="1200" b="0" u="none"/>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50030-38CB-42F4-AB28-A1F59B426081}">
  <sheetPr>
    <pageSetUpPr fitToPage="1"/>
  </sheetPr>
  <dimension ref="A1:W91"/>
  <sheetViews>
    <sheetView tabSelected="1" topLeftCell="A9" zoomScale="70" zoomScaleNormal="70" zoomScaleSheetLayoutView="100" workbookViewId="0">
      <selection activeCell="A65" sqref="A65:E65"/>
    </sheetView>
  </sheetViews>
  <sheetFormatPr defaultColWidth="9.42578125" defaultRowHeight="15.75" x14ac:dyDescent="0.25"/>
  <cols>
    <col min="1" max="1" width="86.42578125" style="2" customWidth="1"/>
    <col min="2" max="2" width="10.42578125" style="3" customWidth="1"/>
    <col min="3" max="3" width="14" style="1" customWidth="1"/>
    <col min="4" max="5" width="19.42578125" style="17" customWidth="1"/>
    <col min="6" max="6" width="9.42578125" style="1" customWidth="1"/>
    <col min="7" max="7" width="9.42578125" style="19" customWidth="1"/>
    <col min="8" max="8" width="15.28515625" style="19" customWidth="1"/>
    <col min="9" max="9" width="79.140625" style="19" bestFit="1" customWidth="1"/>
    <col min="10" max="10" width="10.42578125" style="19" bestFit="1" customWidth="1"/>
    <col min="11" max="11" width="14.42578125" style="17" customWidth="1"/>
    <col min="12" max="13" width="18.42578125" style="17" bestFit="1" customWidth="1"/>
    <col min="14" max="14" width="21.85546875" style="17" customWidth="1"/>
    <col min="15" max="15" width="20.42578125" style="1" customWidth="1"/>
    <col min="16" max="16" width="23.42578125" style="1" customWidth="1"/>
    <col min="17" max="17" width="24.42578125" style="1" customWidth="1"/>
    <col min="18" max="18" width="25.140625" style="1" customWidth="1"/>
    <col min="19" max="16384" width="9.42578125" style="1"/>
  </cols>
  <sheetData>
    <row r="1" spans="1:23" ht="16.5" x14ac:dyDescent="0.3">
      <c r="A1" s="32" t="s">
        <v>13</v>
      </c>
      <c r="B1" s="32"/>
      <c r="C1" s="34"/>
      <c r="D1" s="33"/>
      <c r="E1" s="33"/>
      <c r="F1" s="26"/>
      <c r="G1" s="23"/>
      <c r="H1" s="23"/>
      <c r="I1" s="23"/>
      <c r="J1" s="23"/>
      <c r="T1" s="17"/>
      <c r="V1" s="2"/>
      <c r="W1" s="2"/>
    </row>
    <row r="2" spans="1:23" ht="16.5" x14ac:dyDescent="0.3">
      <c r="A2" s="7" t="s">
        <v>50</v>
      </c>
      <c r="C2" s="27"/>
      <c r="D2" s="28"/>
      <c r="E2" s="28"/>
      <c r="F2" s="26"/>
      <c r="G2" s="23"/>
      <c r="H2" s="23"/>
      <c r="I2" s="23"/>
      <c r="J2" s="23"/>
      <c r="T2" s="17"/>
      <c r="V2" s="2"/>
      <c r="W2" s="2"/>
    </row>
    <row r="3" spans="1:23" ht="16.5" x14ac:dyDescent="0.3">
      <c r="C3" s="27"/>
      <c r="D3" s="28"/>
      <c r="E3" s="28"/>
      <c r="F3" s="26"/>
      <c r="G3" s="23"/>
      <c r="H3" s="23"/>
      <c r="I3" s="23"/>
      <c r="J3" s="23"/>
      <c r="T3" s="2"/>
    </row>
    <row r="4" spans="1:23" ht="16.5" x14ac:dyDescent="0.3">
      <c r="A4" s="32" t="s">
        <v>14</v>
      </c>
      <c r="B4" s="32"/>
      <c r="C4" s="34"/>
      <c r="D4" s="33"/>
      <c r="E4" s="33"/>
      <c r="F4" s="26"/>
      <c r="G4" s="23"/>
      <c r="H4" s="23"/>
      <c r="I4" s="23"/>
      <c r="J4" s="23"/>
      <c r="T4" s="2"/>
      <c r="V4" s="5"/>
      <c r="W4" s="5"/>
    </row>
    <row r="5" spans="1:23" ht="16.5" x14ac:dyDescent="0.3">
      <c r="A5" s="81" t="s">
        <v>54</v>
      </c>
      <c r="B5" s="81"/>
      <c r="C5" s="81"/>
      <c r="D5" s="81"/>
      <c r="E5" s="38"/>
      <c r="F5" s="26"/>
      <c r="G5" s="1"/>
      <c r="H5" s="1"/>
      <c r="I5" s="23"/>
      <c r="J5" s="23"/>
      <c r="T5" s="2"/>
      <c r="V5" s="5"/>
      <c r="W5" s="5"/>
    </row>
    <row r="6" spans="1:23" ht="30.75" customHeight="1" x14ac:dyDescent="0.3">
      <c r="A6" s="38"/>
      <c r="B6" s="38"/>
      <c r="C6" s="38"/>
      <c r="D6" s="38"/>
      <c r="E6" s="38"/>
      <c r="F6" s="26"/>
      <c r="G6" s="1"/>
      <c r="H6" s="1"/>
      <c r="I6" s="70" t="s">
        <v>46</v>
      </c>
      <c r="J6" s="23"/>
      <c r="T6" s="2"/>
      <c r="V6" s="5"/>
      <c r="W6" s="5"/>
    </row>
    <row r="7" spans="1:23" ht="16.5" x14ac:dyDescent="0.3">
      <c r="A7" s="73" t="s">
        <v>56</v>
      </c>
      <c r="B7" s="37"/>
      <c r="C7" s="37"/>
      <c r="D7" s="37"/>
      <c r="E7" s="37"/>
      <c r="F7" s="26"/>
      <c r="G7" s="1"/>
      <c r="H7" s="1"/>
      <c r="I7" s="70"/>
      <c r="J7" s="23"/>
      <c r="T7" s="2"/>
      <c r="V7" s="5"/>
      <c r="W7" s="5"/>
    </row>
    <row r="8" spans="1:23" ht="16.5" x14ac:dyDescent="0.3">
      <c r="A8" s="73" t="s">
        <v>57</v>
      </c>
      <c r="B8" s="37"/>
      <c r="C8" s="37"/>
      <c r="D8" s="37"/>
      <c r="E8" s="37"/>
      <c r="F8" s="26"/>
      <c r="G8" s="1"/>
      <c r="H8" s="1"/>
      <c r="I8" s="70" t="s">
        <v>47</v>
      </c>
      <c r="J8" s="23"/>
      <c r="T8" s="2"/>
      <c r="V8" s="5"/>
      <c r="W8" s="5"/>
    </row>
    <row r="9" spans="1:23" ht="17.25" customHeight="1" x14ac:dyDescent="0.3">
      <c r="A9" s="37"/>
      <c r="B9" s="37"/>
      <c r="C9" s="37"/>
      <c r="D9" s="37"/>
      <c r="E9" s="37"/>
      <c r="F9" s="26"/>
      <c r="G9" s="65"/>
      <c r="H9" s="65"/>
      <c r="I9" s="70" t="s">
        <v>48</v>
      </c>
      <c r="J9" s="23"/>
      <c r="T9" s="2"/>
      <c r="V9" s="5"/>
      <c r="W9" s="5"/>
    </row>
    <row r="10" spans="1:23" ht="16.5" x14ac:dyDescent="0.3">
      <c r="A10" s="32" t="s">
        <v>35</v>
      </c>
      <c r="B10" s="32"/>
      <c r="C10" s="34"/>
      <c r="D10" s="33"/>
      <c r="E10" s="33"/>
      <c r="F10" s="26"/>
      <c r="G10" s="65"/>
      <c r="H10" s="65"/>
      <c r="I10" s="70"/>
      <c r="J10" s="23"/>
      <c r="T10" s="2"/>
      <c r="V10" s="5"/>
      <c r="W10" s="5"/>
    </row>
    <row r="11" spans="1:23" ht="17.25" customHeight="1" x14ac:dyDescent="0.3">
      <c r="A11" s="81" t="s">
        <v>55</v>
      </c>
      <c r="B11" s="81"/>
      <c r="C11" s="81"/>
      <c r="D11" s="81"/>
      <c r="E11" s="81"/>
      <c r="F11" s="26"/>
      <c r="G11" s="65"/>
      <c r="H11" s="65"/>
      <c r="I11" s="70" t="s">
        <v>49</v>
      </c>
      <c r="J11" s="23"/>
      <c r="T11" s="2"/>
      <c r="V11" s="5"/>
      <c r="W11" s="5"/>
    </row>
    <row r="12" spans="1:23" ht="17.25" customHeight="1" x14ac:dyDescent="0.3">
      <c r="A12" s="81"/>
      <c r="B12" s="81"/>
      <c r="C12" s="81"/>
      <c r="D12" s="81"/>
      <c r="E12" s="81"/>
      <c r="F12" s="26"/>
      <c r="G12" s="65"/>
      <c r="H12" s="65"/>
      <c r="I12" s="59"/>
      <c r="J12" s="23"/>
      <c r="T12" s="2"/>
      <c r="V12" s="5"/>
      <c r="W12" s="5"/>
    </row>
    <row r="13" spans="1:23" ht="17.25" customHeight="1" x14ac:dyDescent="0.3">
      <c r="A13" s="81"/>
      <c r="B13" s="81"/>
      <c r="C13" s="81"/>
      <c r="D13" s="81"/>
      <c r="E13" s="81"/>
      <c r="F13" s="26"/>
      <c r="G13" s="65"/>
      <c r="H13" s="65"/>
      <c r="I13" s="23"/>
      <c r="J13" s="23"/>
      <c r="T13" s="2"/>
      <c r="V13" s="5"/>
      <c r="W13" s="5"/>
    </row>
    <row r="14" spans="1:23" x14ac:dyDescent="0.25">
      <c r="A14" s="82" t="s">
        <v>19</v>
      </c>
      <c r="B14" s="82"/>
      <c r="C14" s="82"/>
      <c r="D14" s="82"/>
      <c r="E14" s="82"/>
      <c r="G14" s="1"/>
      <c r="H14" s="1"/>
      <c r="I14" s="80" t="s">
        <v>44</v>
      </c>
      <c r="J14" s="80"/>
      <c r="K14" s="80"/>
      <c r="L14" s="80"/>
      <c r="M14" s="80"/>
      <c r="N14" s="80"/>
      <c r="O14" s="80"/>
      <c r="P14" s="80"/>
      <c r="Q14" s="80"/>
      <c r="R14" s="40"/>
    </row>
    <row r="15" spans="1:23" s="2" customFormat="1" x14ac:dyDescent="0.2">
      <c r="A15" s="36" t="s">
        <v>1</v>
      </c>
      <c r="B15" s="36"/>
      <c r="C15" s="36"/>
      <c r="D15" s="35" t="s">
        <v>11</v>
      </c>
      <c r="E15" s="35" t="s">
        <v>40</v>
      </c>
      <c r="F15" s="60"/>
      <c r="G15" s="60"/>
      <c r="H15" s="67"/>
      <c r="I15" s="36" t="s">
        <v>15</v>
      </c>
      <c r="J15" s="35" t="s">
        <v>39</v>
      </c>
      <c r="K15" s="35" t="s">
        <v>31</v>
      </c>
      <c r="L15" s="35" t="s">
        <v>36</v>
      </c>
      <c r="M15" s="35" t="s">
        <v>25</v>
      </c>
      <c r="N15" s="35" t="s">
        <v>0</v>
      </c>
      <c r="O15" s="35" t="s">
        <v>16</v>
      </c>
      <c r="P15" s="35" t="s">
        <v>32</v>
      </c>
      <c r="Q15" s="35" t="s">
        <v>38</v>
      </c>
      <c r="R15" s="39"/>
    </row>
    <row r="16" spans="1:23" s="2" customFormat="1" x14ac:dyDescent="0.2">
      <c r="A16" s="22" t="s">
        <v>2</v>
      </c>
      <c r="D16" s="12">
        <v>8.5</v>
      </c>
      <c r="E16" s="12"/>
      <c r="I16" s="9" t="s">
        <v>34</v>
      </c>
      <c r="J16" s="42"/>
      <c r="K16" s="43"/>
      <c r="L16" s="43"/>
      <c r="M16" s="43"/>
      <c r="N16" s="44"/>
      <c r="O16" s="44"/>
      <c r="P16" s="44"/>
      <c r="Q16" s="44"/>
      <c r="R16" s="39"/>
    </row>
    <row r="17" spans="1:18" s="2" customFormat="1" ht="15" x14ac:dyDescent="0.2">
      <c r="A17" s="2" t="s">
        <v>4</v>
      </c>
      <c r="D17" s="12"/>
      <c r="E17" s="12"/>
      <c r="F17" s="4">
        <v>0.5</v>
      </c>
      <c r="I17" s="2" t="s">
        <v>41</v>
      </c>
      <c r="J17" s="54">
        <f>D60</f>
        <v>12.5</v>
      </c>
      <c r="K17" s="43"/>
      <c r="L17" s="43"/>
      <c r="M17" s="43"/>
      <c r="N17" s="71">
        <v>175</v>
      </c>
      <c r="O17" s="46">
        <f t="shared" ref="O17:O18" si="0">N17*J17</f>
        <v>2187.5</v>
      </c>
      <c r="P17" s="63"/>
      <c r="Q17" s="44"/>
      <c r="R17" s="58"/>
    </row>
    <row r="18" spans="1:18" s="2" customFormat="1" x14ac:dyDescent="0.2">
      <c r="A18" s="2" t="s">
        <v>24</v>
      </c>
      <c r="D18" s="12"/>
      <c r="E18" s="12"/>
      <c r="F18" s="4">
        <v>0.25</v>
      </c>
      <c r="I18" s="2" t="s">
        <v>42</v>
      </c>
      <c r="J18" s="61">
        <f>E60</f>
        <v>0</v>
      </c>
      <c r="K18" s="43"/>
      <c r="L18" s="43"/>
      <c r="M18" s="43"/>
      <c r="N18" s="71">
        <v>262.5</v>
      </c>
      <c r="O18" s="46">
        <f t="shared" si="0"/>
        <v>0</v>
      </c>
      <c r="P18" s="24"/>
      <c r="Q18" s="24"/>
      <c r="R18" s="8"/>
    </row>
    <row r="19" spans="1:18" s="2" customFormat="1" ht="15.75" customHeight="1" x14ac:dyDescent="0.2">
      <c r="A19" s="2" t="s">
        <v>17</v>
      </c>
      <c r="D19" s="12"/>
      <c r="E19" s="12"/>
      <c r="F19" s="4">
        <v>0.5</v>
      </c>
      <c r="J19" s="54"/>
      <c r="K19" s="43"/>
      <c r="L19" s="43"/>
      <c r="M19" s="43"/>
      <c r="N19" s="42"/>
      <c r="O19" s="45"/>
      <c r="P19" s="24"/>
      <c r="Q19" s="24"/>
      <c r="R19" s="8"/>
    </row>
    <row r="20" spans="1:18" s="2" customFormat="1" ht="15.75" customHeight="1" x14ac:dyDescent="0.2">
      <c r="A20" s="2" t="s">
        <v>23</v>
      </c>
      <c r="D20" s="12"/>
      <c r="E20" s="12"/>
      <c r="F20" s="4">
        <v>1</v>
      </c>
      <c r="J20" s="54"/>
      <c r="N20" s="46"/>
      <c r="O20" s="46"/>
      <c r="R20" s="41"/>
    </row>
    <row r="21" spans="1:18" s="2" customFormat="1" x14ac:dyDescent="0.2">
      <c r="A21" s="2" t="s">
        <v>3</v>
      </c>
      <c r="D21" s="12"/>
      <c r="E21" s="12"/>
      <c r="F21" s="4">
        <v>3</v>
      </c>
      <c r="I21" s="24" t="s">
        <v>37</v>
      </c>
      <c r="J21" s="55">
        <v>0</v>
      </c>
      <c r="K21" s="53">
        <v>25</v>
      </c>
      <c r="L21" s="56">
        <v>0.23</v>
      </c>
      <c r="M21" s="53">
        <v>15</v>
      </c>
      <c r="N21" s="53">
        <f>M21+(M21*L21)</f>
        <v>18.45</v>
      </c>
      <c r="O21" s="53">
        <f>N21*J21</f>
        <v>0</v>
      </c>
      <c r="P21" s="48"/>
      <c r="Q21" s="49"/>
      <c r="R21" s="8"/>
    </row>
    <row r="22" spans="1:18" s="2" customFormat="1" x14ac:dyDescent="0.2">
      <c r="A22" s="2" t="s">
        <v>10</v>
      </c>
      <c r="D22" s="12"/>
      <c r="E22" s="12"/>
      <c r="F22" s="64"/>
      <c r="J22" s="47"/>
      <c r="K22" s="46"/>
      <c r="L22" s="56">
        <v>0.23</v>
      </c>
      <c r="M22" s="46"/>
      <c r="N22" s="53">
        <f t="shared" ref="N22" si="1">M22+(M22*L22)</f>
        <v>0</v>
      </c>
      <c r="O22" s="53">
        <f t="shared" ref="O22" si="2">N22*J22</f>
        <v>0</v>
      </c>
      <c r="P22" s="48"/>
      <c r="Q22" s="49"/>
      <c r="R22" s="39"/>
    </row>
    <row r="23" spans="1:18" s="2" customFormat="1" x14ac:dyDescent="0.2">
      <c r="A23" s="2" t="s">
        <v>21</v>
      </c>
      <c r="D23" s="12"/>
      <c r="E23" s="12"/>
      <c r="F23" s="4">
        <v>0.25</v>
      </c>
      <c r="J23" s="47"/>
      <c r="K23" s="46"/>
      <c r="L23" s="56"/>
      <c r="M23" s="46"/>
      <c r="N23" s="53"/>
      <c r="O23" s="53"/>
      <c r="P23" s="48"/>
      <c r="Q23" s="49"/>
      <c r="R23" s="8"/>
    </row>
    <row r="24" spans="1:18" s="2" customFormat="1" x14ac:dyDescent="0.25">
      <c r="A24" s="2" t="s">
        <v>45</v>
      </c>
      <c r="D24" s="12"/>
      <c r="E24" s="12"/>
      <c r="F24" s="4">
        <v>3</v>
      </c>
      <c r="I24" s="19"/>
      <c r="J24" s="19"/>
      <c r="K24" s="17"/>
      <c r="L24" s="56"/>
      <c r="M24" s="17"/>
      <c r="N24" s="53"/>
      <c r="O24" s="53"/>
      <c r="P24" s="1"/>
      <c r="Q24" s="1"/>
      <c r="R24" s="8"/>
    </row>
    <row r="25" spans="1:18" s="2" customFormat="1" x14ac:dyDescent="0.25">
      <c r="A25" s="14"/>
      <c r="B25" s="21"/>
      <c r="F25" s="29"/>
      <c r="G25" s="29"/>
      <c r="H25" s="29"/>
      <c r="I25" s="32" t="s">
        <v>20</v>
      </c>
      <c r="J25" s="50"/>
      <c r="K25" s="51"/>
      <c r="L25" s="52"/>
      <c r="M25" s="52"/>
      <c r="N25" s="52"/>
      <c r="O25" s="52">
        <f>SUM(O16:O24)</f>
        <v>2187.5</v>
      </c>
      <c r="P25" s="52"/>
      <c r="Q25" s="52"/>
      <c r="R25" s="9"/>
    </row>
    <row r="26" spans="1:18" s="2" customFormat="1" x14ac:dyDescent="0.25">
      <c r="A26" s="15" t="s">
        <v>26</v>
      </c>
      <c r="D26" s="21">
        <v>1.5</v>
      </c>
      <c r="E26" s="12"/>
      <c r="F26" s="72"/>
      <c r="G26" s="29"/>
      <c r="H26" s="29"/>
      <c r="I26" s="5"/>
      <c r="J26" s="5"/>
      <c r="K26" s="5"/>
      <c r="L26" s="5"/>
      <c r="M26" s="5"/>
      <c r="N26" s="5"/>
      <c r="O26" s="5"/>
      <c r="P26" s="5"/>
      <c r="Q26" s="5"/>
    </row>
    <row r="27" spans="1:18" s="2" customFormat="1" x14ac:dyDescent="0.2">
      <c r="A27" s="14" t="s">
        <v>27</v>
      </c>
      <c r="D27" s="12"/>
      <c r="E27" s="12"/>
      <c r="F27" s="72">
        <v>1</v>
      </c>
      <c r="G27" s="29"/>
      <c r="H27" s="29"/>
      <c r="I27" s="36" t="s">
        <v>43</v>
      </c>
      <c r="J27" s="35" t="s">
        <v>39</v>
      </c>
      <c r="K27" s="35" t="s">
        <v>31</v>
      </c>
      <c r="L27" s="35" t="s">
        <v>36</v>
      </c>
      <c r="M27" s="35" t="s">
        <v>25</v>
      </c>
      <c r="N27" s="35" t="s">
        <v>0</v>
      </c>
      <c r="O27" s="35" t="s">
        <v>16</v>
      </c>
      <c r="P27" s="35" t="s">
        <v>32</v>
      </c>
      <c r="Q27" s="35" t="s">
        <v>33</v>
      </c>
    </row>
    <row r="28" spans="1:18" s="2" customFormat="1" ht="15" x14ac:dyDescent="0.2">
      <c r="A28" s="6" t="s">
        <v>28</v>
      </c>
      <c r="D28" s="21"/>
      <c r="E28" s="21"/>
      <c r="F28" s="72" t="s">
        <v>51</v>
      </c>
      <c r="G28" s="29"/>
      <c r="H28" s="29"/>
      <c r="I28" s="24" t="s">
        <v>37</v>
      </c>
      <c r="J28" s="55">
        <v>0</v>
      </c>
      <c r="K28" s="53">
        <v>25</v>
      </c>
      <c r="L28" s="56">
        <v>0.23</v>
      </c>
      <c r="M28" s="53">
        <v>15</v>
      </c>
      <c r="N28" s="53">
        <f>M28+(M28*L28)</f>
        <v>18.45</v>
      </c>
      <c r="O28" s="53">
        <f>N28*J28</f>
        <v>0</v>
      </c>
      <c r="P28" s="48"/>
      <c r="Q28" s="49"/>
    </row>
    <row r="29" spans="1:18" s="2" customFormat="1" ht="15" x14ac:dyDescent="0.2">
      <c r="A29" s="6" t="s">
        <v>29</v>
      </c>
      <c r="D29" s="21"/>
      <c r="E29" s="21"/>
      <c r="F29" s="72" t="s">
        <v>52</v>
      </c>
      <c r="G29" s="29"/>
      <c r="H29" s="29"/>
      <c r="I29" s="24"/>
      <c r="J29" s="55"/>
      <c r="K29" s="53"/>
      <c r="L29" s="56"/>
      <c r="M29" s="53"/>
      <c r="N29" s="53"/>
      <c r="O29" s="53"/>
      <c r="P29" s="48"/>
      <c r="Q29" s="49"/>
    </row>
    <row r="30" spans="1:18" s="2" customFormat="1" ht="15" x14ac:dyDescent="0.2">
      <c r="A30" s="6" t="s">
        <v>30</v>
      </c>
      <c r="D30" s="21"/>
      <c r="E30" s="21"/>
      <c r="F30" s="72" t="s">
        <v>53</v>
      </c>
      <c r="G30" s="29"/>
      <c r="H30" s="29"/>
      <c r="I30" s="24"/>
      <c r="J30" s="55"/>
      <c r="K30" s="53"/>
      <c r="L30" s="56"/>
      <c r="M30" s="53"/>
      <c r="N30" s="53"/>
      <c r="O30" s="53"/>
      <c r="P30" s="48"/>
      <c r="Q30" s="49"/>
    </row>
    <row r="31" spans="1:18" s="2" customFormat="1" ht="15" x14ac:dyDescent="0.2">
      <c r="A31" s="14"/>
      <c r="B31" s="21"/>
      <c r="F31" s="29"/>
      <c r="G31" s="29"/>
      <c r="H31" s="29"/>
      <c r="J31" s="47"/>
      <c r="K31" s="46"/>
      <c r="L31" s="56">
        <v>0.23</v>
      </c>
      <c r="M31" s="46"/>
      <c r="N31" s="53">
        <f t="shared" ref="N31" si="3">M31+(M31*L31)</f>
        <v>0</v>
      </c>
      <c r="O31" s="53">
        <f t="shared" ref="O31" si="4">N31*J31</f>
        <v>0</v>
      </c>
      <c r="P31" s="48"/>
      <c r="Q31" s="49"/>
    </row>
    <row r="32" spans="1:18" s="2" customFormat="1" x14ac:dyDescent="0.25">
      <c r="A32" s="36" t="s">
        <v>5</v>
      </c>
      <c r="B32" s="36"/>
      <c r="C32" s="36"/>
      <c r="D32" s="35" t="s">
        <v>11</v>
      </c>
      <c r="E32" s="35" t="s">
        <v>40</v>
      </c>
      <c r="F32" s="4"/>
      <c r="G32" s="12"/>
      <c r="H32" s="12"/>
      <c r="I32" s="32" t="s">
        <v>59</v>
      </c>
      <c r="J32" s="50"/>
      <c r="K32" s="51"/>
      <c r="L32" s="52"/>
      <c r="M32" s="52"/>
      <c r="N32" s="52"/>
      <c r="O32" s="52">
        <f>SUM(O24:O27)</f>
        <v>2187.5</v>
      </c>
      <c r="P32" s="52"/>
      <c r="Q32" s="52"/>
    </row>
    <row r="33" spans="1:23" s="2" customFormat="1" x14ac:dyDescent="0.25">
      <c r="A33" s="15" t="s">
        <v>58</v>
      </c>
      <c r="B33" s="1"/>
      <c r="C33" s="1"/>
      <c r="D33" s="4">
        <v>2.25</v>
      </c>
      <c r="E33" s="4"/>
      <c r="F33" s="4"/>
      <c r="G33" s="66"/>
      <c r="H33" s="66"/>
      <c r="I33" s="5"/>
      <c r="J33" s="5"/>
      <c r="K33" s="5"/>
      <c r="L33" s="5"/>
      <c r="M33" s="5"/>
      <c r="N33" s="5"/>
      <c r="O33" s="5"/>
      <c r="P33" s="5"/>
      <c r="Q33" s="5"/>
      <c r="S33" s="5"/>
      <c r="T33" s="5"/>
      <c r="U33" s="5"/>
      <c r="V33" s="5"/>
      <c r="W33" s="5"/>
    </row>
    <row r="34" spans="1:23" x14ac:dyDescent="0.25">
      <c r="A34" s="75" t="s">
        <v>60</v>
      </c>
      <c r="B34" s="5"/>
      <c r="C34" s="5"/>
      <c r="D34" s="4"/>
      <c r="E34" s="4"/>
      <c r="F34" s="4">
        <v>0.5</v>
      </c>
      <c r="G34" s="5"/>
      <c r="H34" s="5"/>
      <c r="I34" s="76" t="s">
        <v>62</v>
      </c>
      <c r="J34" s="5"/>
      <c r="K34" s="5"/>
      <c r="L34" s="5"/>
      <c r="M34" s="5"/>
      <c r="N34" s="5"/>
      <c r="O34" s="5"/>
      <c r="P34" s="5"/>
      <c r="Q34" s="5"/>
      <c r="R34" s="5"/>
      <c r="S34" s="5"/>
      <c r="T34" s="5"/>
      <c r="U34" s="5"/>
      <c r="V34" s="5"/>
      <c r="W34" s="5"/>
    </row>
    <row r="35" spans="1:23" s="5" customFormat="1" x14ac:dyDescent="0.25">
      <c r="A35" s="75" t="s">
        <v>61</v>
      </c>
      <c r="D35" s="4"/>
      <c r="E35" s="4"/>
      <c r="F35" s="64"/>
    </row>
    <row r="36" spans="1:23" s="5" customFormat="1" x14ac:dyDescent="0.25">
      <c r="A36" s="77" t="s">
        <v>63</v>
      </c>
      <c r="D36" s="4"/>
      <c r="E36" s="4"/>
      <c r="F36" s="4">
        <v>0.25</v>
      </c>
    </row>
    <row r="37" spans="1:23" s="5" customFormat="1" x14ac:dyDescent="0.25">
      <c r="A37" s="78" t="s">
        <v>64</v>
      </c>
      <c r="D37" s="4"/>
      <c r="E37" s="4"/>
      <c r="F37" s="4">
        <v>1.5</v>
      </c>
    </row>
    <row r="38" spans="1:23" s="5" customFormat="1" x14ac:dyDescent="0.25">
      <c r="A38" s="79" t="s">
        <v>65</v>
      </c>
      <c r="D38" s="4"/>
      <c r="E38" s="4"/>
      <c r="F38" s="64"/>
      <c r="I38" s="2"/>
      <c r="J38" s="29"/>
      <c r="K38" s="57"/>
      <c r="L38" s="25"/>
      <c r="M38" s="25"/>
      <c r="N38" s="57"/>
      <c r="O38" s="46"/>
      <c r="P38" s="2"/>
      <c r="Q38" s="2"/>
    </row>
    <row r="39" spans="1:23" s="5" customFormat="1" ht="15.75" customHeight="1" x14ac:dyDescent="0.25">
      <c r="A39" s="2"/>
      <c r="D39" s="4"/>
      <c r="E39" s="4"/>
      <c r="F39" s="4"/>
      <c r="G39" s="62"/>
      <c r="H39" s="62"/>
    </row>
    <row r="40" spans="1:23" s="5" customFormat="1" x14ac:dyDescent="0.25">
      <c r="A40" s="16" t="s">
        <v>12</v>
      </c>
      <c r="C40" s="4"/>
      <c r="D40" s="4">
        <v>0.25</v>
      </c>
      <c r="E40" s="4"/>
      <c r="F40" s="4"/>
      <c r="G40" s="62"/>
      <c r="H40" s="62"/>
      <c r="N40" s="69"/>
    </row>
    <row r="41" spans="1:23" s="5" customFormat="1" x14ac:dyDescent="0.25">
      <c r="A41" s="2" t="s">
        <v>22</v>
      </c>
      <c r="B41" s="4"/>
      <c r="C41" s="4"/>
      <c r="D41" s="3"/>
      <c r="E41" s="3"/>
      <c r="F41" s="4">
        <v>0.25</v>
      </c>
      <c r="G41" s="62"/>
      <c r="H41" s="62"/>
      <c r="R41" s="7"/>
    </row>
    <row r="42" spans="1:23" s="5" customFormat="1" x14ac:dyDescent="0.25">
      <c r="A42" s="20"/>
      <c r="B42" s="4"/>
      <c r="C42" s="4"/>
      <c r="D42" s="4"/>
      <c r="E42" s="4"/>
      <c r="F42" s="4"/>
      <c r="R42" s="7"/>
    </row>
    <row r="43" spans="1:23" s="5" customFormat="1" x14ac:dyDescent="0.25">
      <c r="A43" s="36" t="s">
        <v>6</v>
      </c>
      <c r="B43" s="36"/>
      <c r="C43" s="36"/>
      <c r="D43" s="35" t="s">
        <v>11</v>
      </c>
      <c r="E43" s="35" t="s">
        <v>40</v>
      </c>
      <c r="F43" s="4"/>
      <c r="M43" s="7"/>
      <c r="N43" s="7"/>
      <c r="O43" s="7"/>
      <c r="P43" s="2"/>
      <c r="R43" s="7"/>
    </row>
    <row r="44" spans="1:23" s="5" customFormat="1" x14ac:dyDescent="0.25">
      <c r="A44" s="2"/>
      <c r="B44" s="2"/>
      <c r="C44" s="2"/>
      <c r="D44" s="2"/>
      <c r="E44" s="2"/>
      <c r="F44" s="4"/>
      <c r="M44" s="7"/>
      <c r="N44" s="7"/>
      <c r="O44" s="7"/>
      <c r="P44" s="7"/>
      <c r="Q44" s="7"/>
      <c r="R44" s="7"/>
    </row>
    <row r="45" spans="1:23" s="5" customFormat="1" x14ac:dyDescent="0.25">
      <c r="A45" s="36" t="s">
        <v>7</v>
      </c>
      <c r="B45" s="36"/>
      <c r="C45" s="36"/>
      <c r="D45" s="35" t="s">
        <v>11</v>
      </c>
      <c r="E45" s="35" t="s">
        <v>40</v>
      </c>
      <c r="F45" s="4"/>
      <c r="G45" s="62"/>
      <c r="H45" s="62"/>
      <c r="M45" s="7"/>
      <c r="N45" s="7"/>
      <c r="O45" s="7"/>
      <c r="P45" s="7"/>
      <c r="Q45" s="7"/>
      <c r="R45" s="7"/>
    </row>
    <row r="46" spans="1:23" s="5" customFormat="1" x14ac:dyDescent="0.25">
      <c r="A46" s="6"/>
      <c r="D46" s="12"/>
      <c r="E46" s="12"/>
      <c r="F46" s="4"/>
      <c r="K46" s="18"/>
      <c r="L46" s="18"/>
      <c r="M46" s="18"/>
      <c r="N46" s="18"/>
      <c r="O46" s="13"/>
      <c r="P46" s="13"/>
    </row>
    <row r="47" spans="1:23" x14ac:dyDescent="0.25">
      <c r="A47" s="36" t="s">
        <v>8</v>
      </c>
      <c r="B47" s="36"/>
      <c r="C47" s="36"/>
      <c r="D47" s="35" t="s">
        <v>11</v>
      </c>
      <c r="E47" s="35" t="s">
        <v>40</v>
      </c>
      <c r="F47" s="4"/>
      <c r="G47" s="12"/>
      <c r="H47" s="12"/>
      <c r="I47" s="5"/>
      <c r="J47" s="5"/>
      <c r="K47" s="18"/>
      <c r="L47" s="18"/>
      <c r="M47" s="18"/>
      <c r="N47" s="18"/>
      <c r="O47" s="13"/>
      <c r="P47" s="13"/>
      <c r="Q47" s="5"/>
      <c r="R47" s="5"/>
    </row>
    <row r="48" spans="1:23" x14ac:dyDescent="0.25">
      <c r="A48" s="10" t="s">
        <v>66</v>
      </c>
      <c r="D48" s="12"/>
      <c r="E48" s="12"/>
      <c r="F48" s="4"/>
      <c r="G48" s="66"/>
      <c r="H48" s="66"/>
      <c r="I48" s="5"/>
      <c r="J48" s="5"/>
      <c r="K48" s="18"/>
      <c r="L48" s="18"/>
      <c r="M48" s="18"/>
      <c r="N48" s="18"/>
      <c r="O48" s="13"/>
      <c r="P48" s="13"/>
      <c r="Q48" s="5"/>
    </row>
    <row r="49" spans="1:9" x14ac:dyDescent="0.25">
      <c r="A49" s="83" t="s">
        <v>67</v>
      </c>
      <c r="D49" s="1"/>
      <c r="E49" s="1"/>
      <c r="F49" s="12"/>
      <c r="G49" s="66"/>
      <c r="H49" s="66"/>
    </row>
    <row r="50" spans="1:9" x14ac:dyDescent="0.25">
      <c r="A50" s="6" t="s">
        <v>68</v>
      </c>
      <c r="D50" s="12"/>
      <c r="E50" s="12"/>
      <c r="F50" s="4"/>
      <c r="G50" s="66"/>
      <c r="H50" s="66"/>
    </row>
    <row r="51" spans="1:9" x14ac:dyDescent="0.25">
      <c r="A51" s="6"/>
      <c r="D51" s="12"/>
      <c r="E51" s="12"/>
      <c r="F51" s="4"/>
      <c r="G51" s="66"/>
      <c r="H51" s="66"/>
    </row>
    <row r="52" spans="1:9" x14ac:dyDescent="0.25">
      <c r="A52" s="10" t="s">
        <v>69</v>
      </c>
      <c r="D52" s="12"/>
      <c r="E52" s="12"/>
      <c r="F52" s="4"/>
      <c r="G52" s="66"/>
      <c r="H52" s="66"/>
    </row>
    <row r="53" spans="1:9" x14ac:dyDescent="0.25">
      <c r="A53" s="14" t="s">
        <v>70</v>
      </c>
      <c r="D53" s="12"/>
      <c r="E53" s="12"/>
      <c r="F53" s="4"/>
      <c r="G53" s="66"/>
      <c r="H53" s="66"/>
    </row>
    <row r="54" spans="1:9" x14ac:dyDescent="0.25">
      <c r="A54" s="14" t="s">
        <v>71</v>
      </c>
      <c r="D54" s="3"/>
      <c r="E54" s="3"/>
      <c r="F54" s="4"/>
      <c r="G54" s="66"/>
      <c r="H54" s="66"/>
    </row>
    <row r="55" spans="1:9" x14ac:dyDescent="0.25">
      <c r="A55" s="6" t="s">
        <v>72</v>
      </c>
      <c r="D55" s="3"/>
      <c r="E55" s="3"/>
      <c r="F55" s="4"/>
      <c r="G55" s="66"/>
      <c r="H55" s="66"/>
    </row>
    <row r="56" spans="1:9" x14ac:dyDescent="0.25">
      <c r="A56" s="6" t="s">
        <v>73</v>
      </c>
      <c r="D56" s="3"/>
      <c r="E56" s="3"/>
      <c r="F56" s="4"/>
      <c r="G56" s="66"/>
      <c r="H56" s="66"/>
    </row>
    <row r="57" spans="1:9" x14ac:dyDescent="0.25">
      <c r="A57" s="84" t="s">
        <v>74</v>
      </c>
      <c r="D57" s="3"/>
      <c r="E57" s="3"/>
      <c r="F57" s="4"/>
      <c r="G57" s="66"/>
      <c r="H57" s="66"/>
    </row>
    <row r="58" spans="1:9" x14ac:dyDescent="0.25">
      <c r="A58" s="14" t="s">
        <v>75</v>
      </c>
      <c r="D58" s="3"/>
      <c r="E58" s="3"/>
      <c r="F58" s="4"/>
      <c r="G58" s="66"/>
      <c r="H58" s="66"/>
    </row>
    <row r="59" spans="1:9" x14ac:dyDescent="0.25">
      <c r="A59" s="10"/>
      <c r="D59" s="12"/>
      <c r="E59" s="12"/>
      <c r="F59" s="4"/>
      <c r="G59" s="66"/>
      <c r="H59" s="66"/>
    </row>
    <row r="60" spans="1:9" ht="14.25" customHeight="1" x14ac:dyDescent="0.25">
      <c r="A60" s="30" t="s">
        <v>9</v>
      </c>
      <c r="B60" s="30"/>
      <c r="C60" s="30"/>
      <c r="D60" s="31">
        <f>SUM(D16:D59)</f>
        <v>12.5</v>
      </c>
      <c r="E60" s="31">
        <f>SUM(E16:E59)</f>
        <v>0</v>
      </c>
      <c r="F60" s="60"/>
      <c r="G60" s="60"/>
      <c r="H60" s="68"/>
    </row>
    <row r="61" spans="1:9" ht="15.75" customHeight="1" x14ac:dyDescent="0.25">
      <c r="A61" s="9"/>
      <c r="B61" s="11"/>
      <c r="C61" s="25"/>
      <c r="D61" s="25"/>
      <c r="E61" s="25"/>
      <c r="F61" s="4"/>
    </row>
    <row r="62" spans="1:9" ht="15.75" customHeight="1" x14ac:dyDescent="0.25">
      <c r="A62" s="74" t="s">
        <v>18</v>
      </c>
      <c r="B62" s="74"/>
      <c r="C62" s="74"/>
      <c r="D62" s="74"/>
      <c r="E62" s="74"/>
      <c r="F62" s="4"/>
    </row>
    <row r="63" spans="1:9" x14ac:dyDescent="0.25">
      <c r="A63" s="7"/>
      <c r="B63" s="9"/>
      <c r="I63" s="1"/>
    </row>
    <row r="64" spans="1:9" x14ac:dyDescent="0.25">
      <c r="A64" s="7"/>
      <c r="B64" s="9"/>
      <c r="I64" s="60"/>
    </row>
    <row r="65" spans="1:5" x14ac:dyDescent="0.25">
      <c r="A65" s="85" t="s">
        <v>76</v>
      </c>
      <c r="B65" s="85"/>
      <c r="C65" s="85"/>
      <c r="D65" s="85"/>
      <c r="E65" s="85"/>
    </row>
    <row r="66" spans="1:5" x14ac:dyDescent="0.25">
      <c r="A66" s="7"/>
      <c r="B66" s="9"/>
    </row>
    <row r="67" spans="1:5" x14ac:dyDescent="0.25">
      <c r="A67" s="7" t="s">
        <v>77</v>
      </c>
      <c r="B67" s="9"/>
    </row>
    <row r="68" spans="1:5" x14ac:dyDescent="0.25">
      <c r="A68" s="7"/>
      <c r="B68" s="9"/>
    </row>
    <row r="69" spans="1:5" x14ac:dyDescent="0.25">
      <c r="A69" s="7" t="s">
        <v>78</v>
      </c>
      <c r="B69" s="9"/>
    </row>
    <row r="70" spans="1:5" x14ac:dyDescent="0.25">
      <c r="A70" s="7"/>
      <c r="B70" s="9"/>
    </row>
    <row r="71" spans="1:5" x14ac:dyDescent="0.25">
      <c r="A71" s="7" t="s">
        <v>79</v>
      </c>
      <c r="B71" s="9"/>
    </row>
    <row r="72" spans="1:5" x14ac:dyDescent="0.25">
      <c r="A72" s="7"/>
      <c r="B72" s="9"/>
    </row>
    <row r="73" spans="1:5" x14ac:dyDescent="0.25">
      <c r="A73" s="7" t="s">
        <v>80</v>
      </c>
      <c r="B73" s="9"/>
    </row>
    <row r="74" spans="1:5" x14ac:dyDescent="0.25">
      <c r="A74" s="7"/>
      <c r="B74" s="9"/>
    </row>
    <row r="75" spans="1:5" x14ac:dyDescent="0.25">
      <c r="A75" s="7" t="s">
        <v>81</v>
      </c>
      <c r="B75" s="9"/>
    </row>
    <row r="76" spans="1:5" x14ac:dyDescent="0.25">
      <c r="A76" s="7"/>
      <c r="B76" s="9"/>
    </row>
    <row r="77" spans="1:5" x14ac:dyDescent="0.25">
      <c r="A77" s="7" t="s">
        <v>82</v>
      </c>
      <c r="B77" s="9"/>
    </row>
    <row r="78" spans="1:5" x14ac:dyDescent="0.25">
      <c r="A78" s="7"/>
      <c r="B78" s="9"/>
    </row>
    <row r="79" spans="1:5" x14ac:dyDescent="0.25">
      <c r="A79" s="7" t="s">
        <v>83</v>
      </c>
      <c r="B79" s="9"/>
    </row>
    <row r="80" spans="1:5" x14ac:dyDescent="0.25">
      <c r="A80" s="7"/>
      <c r="B80" s="9"/>
    </row>
    <row r="81" spans="1:2" x14ac:dyDescent="0.25">
      <c r="A81" s="7" t="s">
        <v>84</v>
      </c>
      <c r="B81" s="9"/>
    </row>
    <row r="82" spans="1:2" x14ac:dyDescent="0.25">
      <c r="A82" s="7"/>
      <c r="B82" s="9"/>
    </row>
    <row r="83" spans="1:2" x14ac:dyDescent="0.25">
      <c r="A83" s="7" t="s">
        <v>85</v>
      </c>
      <c r="B83" s="9"/>
    </row>
    <row r="85" spans="1:2" x14ac:dyDescent="0.25">
      <c r="A85" s="2" t="s">
        <v>86</v>
      </c>
    </row>
    <row r="87" spans="1:2" x14ac:dyDescent="0.25">
      <c r="A87" s="2" t="s">
        <v>87</v>
      </c>
    </row>
    <row r="89" spans="1:2" x14ac:dyDescent="0.25">
      <c r="A89" s="2" t="s">
        <v>88</v>
      </c>
    </row>
    <row r="91" spans="1:2" x14ac:dyDescent="0.25">
      <c r="A91" s="2" t="s">
        <v>89</v>
      </c>
    </row>
  </sheetData>
  <mergeCells count="5">
    <mergeCell ref="I14:Q14"/>
    <mergeCell ref="A5:D5"/>
    <mergeCell ref="A14:E14"/>
    <mergeCell ref="A11:E13"/>
    <mergeCell ref="A65:E65"/>
  </mergeCells>
  <pageMargins left="0.5" right="0.5" top="0.5" bottom="0.75" header="0.3" footer="0.3"/>
  <pageSetup scale="73" fitToHeight="0" orientation="portrait" r:id="rId1"/>
  <headerFooter>
    <oddFooter>&amp;CPage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796b9fa-d9fc-49ee-bfe3-e8e3f6c8e6b9" xsi:nil="true"/>
    <lcf76f155ced4ddcb4097134ff3c332f xmlns="7e83d2dc-68d1-4912-b76c-bebf2ac3755c">
      <Terms xmlns="http://schemas.microsoft.com/office/infopath/2007/PartnerControls"/>
    </lcf76f155ced4ddcb4097134ff3c332f>
    <k6de67457aa54369b46d9b743cebe52d xmlns="7e83d2dc-68d1-4912-b76c-bebf2ac3755c">
      <Terms xmlns="http://schemas.microsoft.com/office/infopath/2007/PartnerControls"/>
    </k6de67457aa54369b46d9b743cebe52d>
    <adbe64da05be4baa97c0a1b9d9fc7399 xmlns="7e83d2dc-68d1-4912-b76c-bebf2ac3755c">
      <Terms xmlns="http://schemas.microsoft.com/office/infopath/2007/PartnerControls"/>
    </adbe64da05be4baa97c0a1b9d9fc7399>
    <ke3c6b578e6e419e96c01ebc87dfb13c xmlns="7e83d2dc-68d1-4912-b76c-bebf2ac3755c">
      <Terms xmlns="http://schemas.microsoft.com/office/infopath/2007/PartnerControls"/>
    </ke3c6b578e6e419e96c01ebc87dfb13c>
    <p6eb1c22fb0c4f898d8236608a18df96 xmlns="7e83d2dc-68d1-4912-b76c-bebf2ac3755c">
      <Terms xmlns="http://schemas.microsoft.com/office/infopath/2007/PartnerControls"/>
    </p6eb1c22fb0c4f898d8236608a18df96>
    <ec89297846d242efab2fe5ea3581dbef xmlns="7e83d2dc-68d1-4912-b76c-bebf2ac3755c">
      <Terms xmlns="http://schemas.microsoft.com/office/infopath/2007/PartnerControls"/>
    </ec89297846d242efab2fe5ea3581dbef>
    <hb51427408e64abaa9a060a875d8049b xmlns="7e83d2dc-68d1-4912-b76c-bebf2ac3755c">
      <Terms xmlns="http://schemas.microsoft.com/office/infopath/2007/PartnerControls"/>
    </hb51427408e64abaa9a060a875d8049b>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1D1271329524498AFDDD32DE588E03" ma:contentTypeVersion="31" ma:contentTypeDescription="Create a new document." ma:contentTypeScope="" ma:versionID="bcc7c74bef152abac329e8f68934cefb">
  <xsd:schema xmlns:xsd="http://www.w3.org/2001/XMLSchema" xmlns:xs="http://www.w3.org/2001/XMLSchema" xmlns:p="http://schemas.microsoft.com/office/2006/metadata/properties" xmlns:ns2="7e83d2dc-68d1-4912-b76c-bebf2ac3755c" xmlns:ns3="8796b9fa-d9fc-49ee-bfe3-e8e3f6c8e6b9" targetNamespace="http://schemas.microsoft.com/office/2006/metadata/properties" ma:root="true" ma:fieldsID="4995bf6cf66721c51a83603a6b74daeb" ns2:_="" ns3:_="">
    <xsd:import namespace="7e83d2dc-68d1-4912-b76c-bebf2ac3755c"/>
    <xsd:import namespace="8796b9fa-d9fc-49ee-bfe3-e8e3f6c8e6b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k6de67457aa54369b46d9b743cebe52d" minOccurs="0"/>
                <xsd:element ref="ns2:ke3c6b578e6e419e96c01ebc87dfb13c" minOccurs="0"/>
                <xsd:element ref="ns2:adbe64da05be4baa97c0a1b9d9fc7399" minOccurs="0"/>
                <xsd:element ref="ns2:p6eb1c22fb0c4f898d8236608a18df96" minOccurs="0"/>
                <xsd:element ref="ns2:ec89297846d242efab2fe5ea3581dbef" minOccurs="0"/>
                <xsd:element ref="ns2:hb51427408e64abaa9a060a875d8049b"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83d2dc-68d1-4912-b76c-bebf2ac375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c7ed5e9-1a20-4fbe-9214-deddaed599c0" ma:termSetId="09814cd3-568e-fe90-9814-8d621ff8fb84" ma:anchorId="fba54fb3-c3e1-fe81-a776-ca4b69148c4d" ma:open="true" ma:isKeyword="false">
      <xsd:complexType>
        <xsd:sequence>
          <xsd:element ref="pc:Terms" minOccurs="0" maxOccurs="1"/>
        </xsd:sequence>
      </xsd:complexType>
    </xsd:element>
    <xsd:element name="k6de67457aa54369b46d9b743cebe52d" ma:index="25" nillable="true" ma:taxonomy="true" ma:internalName="k6de67457aa54369b46d9b743cebe52d" ma:taxonomyFieldName="Technology" ma:displayName="Technology" ma:default="" ma:fieldId="{46de6745-7aa5-4369-b46d-9b743cebe52d}" ma:taxonomyMulti="true" ma:sspId="ec7ed5e9-1a20-4fbe-9214-deddaed599c0" ma:termSetId="6ec82f2c-d318-4689-9d90-cb8fd82e23d5" ma:anchorId="00000000-0000-0000-0000-000000000000" ma:open="false" ma:isKeyword="false">
      <xsd:complexType>
        <xsd:sequence>
          <xsd:element ref="pc:Terms" minOccurs="0" maxOccurs="1"/>
        </xsd:sequence>
      </xsd:complexType>
    </xsd:element>
    <xsd:element name="ke3c6b578e6e419e96c01ebc87dfb13c" ma:index="27" nillable="true" ma:taxonomy="true" ma:internalName="ke3c6b578e6e419e96c01ebc87dfb13c" ma:taxonomyFieldName="Product" ma:displayName="Product" ma:default="" ma:fieldId="{4e3c6b57-8e6e-419e-96c0-1ebc87dfb13c}" ma:taxonomyMulti="true" ma:sspId="ec7ed5e9-1a20-4fbe-9214-deddaed599c0" ma:termSetId="e57c09fe-1169-4487-855a-b29919d6ed83" ma:anchorId="00000000-0000-0000-0000-000000000000" ma:open="false" ma:isKeyword="false">
      <xsd:complexType>
        <xsd:sequence>
          <xsd:element ref="pc:Terms" minOccurs="0" maxOccurs="1"/>
        </xsd:sequence>
      </xsd:complexType>
    </xsd:element>
    <xsd:element name="adbe64da05be4baa97c0a1b9d9fc7399" ma:index="29" nillable="true" ma:taxonomy="true" ma:internalName="adbe64da05be4baa97c0a1b9d9fc7399" ma:taxonomyFieldName="Business_x0020_Requirement_x0020_" ma:displayName="Business Requirement " ma:default="" ma:fieldId="{adbe64da-05be-4baa-97c0-a1b9d9fc7399}" ma:taxonomyMulti="true" ma:sspId="ec7ed5e9-1a20-4fbe-9214-deddaed599c0" ma:termSetId="581c5635-fa94-4700-bb43-988396e1a055" ma:anchorId="00000000-0000-0000-0000-000000000000" ma:open="false" ma:isKeyword="false">
      <xsd:complexType>
        <xsd:sequence>
          <xsd:element ref="pc:Terms" minOccurs="0" maxOccurs="1"/>
        </xsd:sequence>
      </xsd:complexType>
    </xsd:element>
    <xsd:element name="p6eb1c22fb0c4f898d8236608a18df96" ma:index="31" nillable="true" ma:taxonomy="true" ma:internalName="p6eb1c22fb0c4f898d8236608a18df96" ma:taxonomyFieldName="Operation" ma:displayName="Operation" ma:default="" ma:fieldId="{96eb1c22-fb0c-4f89-8d82-36608a18df96}" ma:taxonomyMulti="true" ma:sspId="ec7ed5e9-1a20-4fbe-9214-deddaed599c0" ma:termSetId="8e2649f9-063f-492d-b295-30cc7fdb1b1c" ma:anchorId="00000000-0000-0000-0000-000000000000" ma:open="false" ma:isKeyword="false">
      <xsd:complexType>
        <xsd:sequence>
          <xsd:element ref="pc:Terms" minOccurs="0" maxOccurs="1"/>
        </xsd:sequence>
      </xsd:complexType>
    </xsd:element>
    <xsd:element name="ec89297846d242efab2fe5ea3581dbef" ma:index="33" nillable="true" ma:taxonomy="true" ma:internalName="ec89297846d242efab2fe5ea3581dbef" ma:taxonomyFieldName="Endpoint" ma:displayName="Endpoint" ma:default="" ma:fieldId="{ec892978-46d2-42ef-ab2f-e5ea3581dbef}" ma:taxonomyMulti="true" ma:sspId="ec7ed5e9-1a20-4fbe-9214-deddaed599c0" ma:termSetId="444bbf98-b73e-44d0-aa23-f29a827585ed" ma:anchorId="00000000-0000-0000-0000-000000000000" ma:open="false" ma:isKeyword="false">
      <xsd:complexType>
        <xsd:sequence>
          <xsd:element ref="pc:Terms" minOccurs="0" maxOccurs="1"/>
        </xsd:sequence>
      </xsd:complexType>
    </xsd:element>
    <xsd:element name="hb51427408e64abaa9a060a875d8049b" ma:index="35" nillable="true" ma:taxonomy="true" ma:internalName="hb51427408e64abaa9a060a875d8049b" ma:taxonomyFieldName="MSP_x0020_Name" ma:displayName="MSP Name" ma:default="" ma:fieldId="{1b514274-08e6-4aba-a9a0-60a875d8049b}" ma:sspId="ec7ed5e9-1a20-4fbe-9214-deddaed599c0" ma:termSetId="ba4dea1d-b2f4-4d2d-8c54-a9a17d3921bf" ma:anchorId="00000000-0000-0000-0000-000000000000" ma:open="false" ma:isKeyword="false">
      <xsd:complexType>
        <xsd:sequence>
          <xsd:element ref="pc:Terms" minOccurs="0" maxOccurs="1"/>
        </xsd:sequence>
      </xsd:complex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96b9fa-d9fc-49ee-bfe3-e8e3f6c8e6b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871121b-a469-4aa2-a093-f6f462e4a03b}" ma:internalName="TaxCatchAll" ma:showField="CatchAllData" ma:web="8796b9fa-d9fc-49ee-bfe3-e8e3f6c8e6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804838-7442-4395-A515-4B5B46554B86}">
  <ds:schemaRefs>
    <ds:schemaRef ds:uri="http://schemas.openxmlformats.org/package/2006/metadata/core-properties"/>
    <ds:schemaRef ds:uri="http://purl.org/dc/elements/1.1/"/>
    <ds:schemaRef ds:uri="http://purl.org/dc/terms/"/>
    <ds:schemaRef ds:uri="http://schemas.microsoft.com/office/infopath/2007/PartnerControls"/>
    <ds:schemaRef ds:uri="8796b9fa-d9fc-49ee-bfe3-e8e3f6c8e6b9"/>
    <ds:schemaRef ds:uri="http://purl.org/dc/dcmitype/"/>
    <ds:schemaRef ds:uri="http://schemas.microsoft.com/office/2006/documentManagement/types"/>
    <ds:schemaRef ds:uri="7e83d2dc-68d1-4912-b76c-bebf2ac3755c"/>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44046C2A-23AB-4E15-BD82-F246177BABDF}">
  <ds:schemaRefs>
    <ds:schemaRef ds:uri="http://schemas.microsoft.com/sharepoint/v3/contenttype/forms"/>
  </ds:schemaRefs>
</ds:datastoreItem>
</file>

<file path=customXml/itemProps3.xml><?xml version="1.0" encoding="utf-8"?>
<ds:datastoreItem xmlns:ds="http://schemas.openxmlformats.org/officeDocument/2006/customXml" ds:itemID="{58D2843F-9C2E-49B5-B81D-C4D6682D07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83d2dc-68d1-4912-b76c-bebf2ac3755c"/>
    <ds:schemaRef ds:uri="8796b9fa-d9fc-49ee-bfe3-e8e3f6c8e6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V(1)</vt:lpstr>
      <vt:lpstr>'V(1)'!Print_Area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Angel Paruas</cp:lastModifiedBy>
  <cp:revision/>
  <cp:lastPrinted>2019-01-30T14:53:31Z</cp:lastPrinted>
  <dcterms:created xsi:type="dcterms:W3CDTF">2016-08-12T14:17:27Z</dcterms:created>
  <dcterms:modified xsi:type="dcterms:W3CDTF">2023-11-13T03:51:36Z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0x010100F61D1271329524498AFDDD32DE588E03</vt:lpwstr>
  </property>
  <property fmtid="{D5CDD505-2E9C-101B-9397-08002B2CF9AE}" pid="3" name="AuthorIds_UIVersion_5120">
    <vt:lpwstr>6</vt:lpwstr>
  </property>
  <property fmtid="{D5CDD505-2E9C-101B-9397-08002B2CF9AE}" pid="4" name="MediaServiceImageTags">
    <vt:lpwstr/>
  </property>
  <property fmtid="{D5CDD505-2E9C-101B-9397-08002B2CF9AE}" pid="5" name="Technology">
    <vt:lpwstr/>
  </property>
  <property fmtid="{D5CDD505-2E9C-101B-9397-08002B2CF9AE}" pid="6" name="Business Requirement ">
    <vt:lpwstr/>
  </property>
  <property fmtid="{D5CDD505-2E9C-101B-9397-08002B2CF9AE}" pid="7" name="Endpoint">
    <vt:lpwstr/>
  </property>
  <property fmtid="{D5CDD505-2E9C-101B-9397-08002B2CF9AE}" pid="8" name="Product">
    <vt:lpwstr/>
  </property>
  <property fmtid="{D5CDD505-2E9C-101B-9397-08002B2CF9AE}" pid="9" name="Operation">
    <vt:lpwstr/>
  </property>
  <property fmtid="{D5CDD505-2E9C-101B-9397-08002B2CF9AE}" pid="10" name="MSP_x0020_Name">
    <vt:lpwstr/>
  </property>
  <property fmtid="{D5CDD505-2E9C-101B-9397-08002B2CF9AE}" pid="11" name="Business Requirement">
    <vt:lpwstr/>
  </property>
  <property fmtid="{D5CDD505-2E9C-101B-9397-08002B2CF9AE}" pid="12" name="MSP Name">
    <vt:lpwstr/>
  </property>
</Properties>
</file>