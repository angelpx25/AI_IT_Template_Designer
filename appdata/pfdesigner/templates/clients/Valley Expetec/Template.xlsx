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IT_Template_Designer\appdata\pfdesigner\templates\clients\Valley Expetec\"/>
    </mc:Choice>
  </mc:AlternateContent>
  <xr:revisionPtr revIDLastSave="0" documentId="13_ncr:1_{041D1608-76F1-407D-B744-0CEBE0D7A69B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V1" sheetId="7" r:id="rId1"/>
    <sheet name="Product" sheetId="8" r:id="rId2"/>
    <sheet name="Justification" sheetId="9" r:id="rId3"/>
    <sheet name="Markups" sheetId="10" r:id="rId4"/>
  </sheets>
  <definedNames>
    <definedName name="_xlnm.Print_Area" localSheetId="0">'V1'!$A$2:$E$48</definedName>
    <definedName name="ProductDetails.aspx?id_US01__9500__10__YL9222" localSheetId="0">'V1'!#REF!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0" i="7" l="1"/>
  <c r="F18" i="7" l="1"/>
  <c r="P15" i="7"/>
  <c r="Q15" i="7" s="1"/>
  <c r="P14" i="7"/>
  <c r="Q14" i="7" s="1"/>
  <c r="Q26" i="7"/>
  <c r="E46" i="7" l="1"/>
  <c r="K11" i="7" s="1"/>
  <c r="Q11" i="7" s="1"/>
  <c r="Q18" i="7" s="1"/>
</calcChain>
</file>

<file path=xl/sharedStrings.xml><?xml version="1.0" encoding="utf-8"?>
<sst xmlns="http://schemas.openxmlformats.org/spreadsheetml/2006/main" count="93" uniqueCount="78">
  <si>
    <t>Project Name:</t>
  </si>
  <si>
    <t>Business Requirements:</t>
  </si>
  <si>
    <t>Project Work Plan</t>
  </si>
  <si>
    <t>Plan:</t>
  </si>
  <si>
    <t>Hours</t>
  </si>
  <si>
    <t>Project Management Services:</t>
  </si>
  <si>
    <t>Record project plan in ConnectWise</t>
  </si>
  <si>
    <t>Procurement</t>
  </si>
  <si>
    <t>Project documentation assignment to PEs</t>
  </si>
  <si>
    <t>Knowledge transfer to PEs</t>
  </si>
  <si>
    <t>Project coordination with stakeholders</t>
  </si>
  <si>
    <t>Resource scheduling</t>
  </si>
  <si>
    <t>Determine end user communication plan with client</t>
  </si>
  <si>
    <t>Create &amp; Distribute Project Announcements:</t>
  </si>
  <si>
    <t>Project Commencement, Purpose, and Schedule</t>
  </si>
  <si>
    <t>Prepare:</t>
  </si>
  <si>
    <t>Implement:</t>
  </si>
  <si>
    <t>Operate:</t>
  </si>
  <si>
    <t>Optimize:</t>
  </si>
  <si>
    <t>Proposal Notes</t>
  </si>
  <si>
    <t>Products and Services</t>
  </si>
  <si>
    <t>Quantity</t>
  </si>
  <si>
    <t>Products and Services (Non-Recurring Fees)</t>
  </si>
  <si>
    <t>MSRP</t>
  </si>
  <si>
    <t>Markup</t>
  </si>
  <si>
    <t>Cost</t>
  </si>
  <si>
    <t>PPU</t>
  </si>
  <si>
    <t>Extended Price</t>
  </si>
  <si>
    <t>Distributor PN</t>
  </si>
  <si>
    <t>Manufacturer PN</t>
  </si>
  <si>
    <t>Non Recurring Fees Total:</t>
  </si>
  <si>
    <t>Products and Services (Monthly Recurring Fees)</t>
  </si>
  <si>
    <t>Confirm Services</t>
  </si>
  <si>
    <t>Monthly Recurring Fees Total:</t>
  </si>
  <si>
    <t>Enter Business Requirements</t>
  </si>
  <si>
    <t>Create a core solution and systems feature test plan</t>
  </si>
  <si>
    <t>Professional Services:</t>
  </si>
  <si>
    <t>Products:</t>
  </si>
  <si>
    <t>Item</t>
  </si>
  <si>
    <t>Notes</t>
  </si>
  <si>
    <t>Computers</t>
  </si>
  <si>
    <t>Computer related equipment (monitors, etc)</t>
  </si>
  <si>
    <t>Surfaces</t>
  </si>
  <si>
    <t>Per Microsoft partner agreement</t>
  </si>
  <si>
    <t>Servers</t>
  </si>
  <si>
    <t>Network Gear, except Datto</t>
  </si>
  <si>
    <t>Datto Hardware</t>
  </si>
  <si>
    <t>Datto Services/Cloud</t>
  </si>
  <si>
    <t>Datto Access Points</t>
  </si>
  <si>
    <t>Microsoft Licensing</t>
  </si>
  <si>
    <t>Support agreements</t>
  </si>
  <si>
    <t xml:space="preserve">Warranties and firewall support renewals and such, right? </t>
  </si>
  <si>
    <t>Microsoft 365 Licensing</t>
  </si>
  <si>
    <t>Prepare for and conduct project status meetings (3)</t>
  </si>
  <si>
    <t>Everything</t>
  </si>
  <si>
    <t>Datto AP</t>
  </si>
  <si>
    <t>banner colors: is RGB 43-68-155,  RGB 99-158-214</t>
  </si>
  <si>
    <t>Develop Test Plan:</t>
  </si>
  <si>
    <t>Do not PDF this column</t>
  </si>
  <si>
    <t>Recurring Products/Services:</t>
  </si>
  <si>
    <t>Valley Expetec Professional Services</t>
  </si>
  <si>
    <t>Proposal Name [Ticket]</t>
  </si>
  <si>
    <t>Day Prior to Maintenance Window</t>
  </si>
  <si>
    <t>15 Minutes Prior to Maintenance Window</t>
  </si>
  <si>
    <t>mtime1</t>
  </si>
  <si>
    <t>mtime2</t>
  </si>
  <si>
    <t>mtime3</t>
  </si>
  <si>
    <t>Maintenance Window Has Ended</t>
  </si>
  <si>
    <t>&lt;ProjectCommencementTime&gt;</t>
  </si>
  <si>
    <t>CreateDistributeProjectAnnouncementsTime</t>
  </si>
  <si>
    <t>Confirm Established Business Requirements:</t>
  </si>
  <si>
    <t>Attend internal knowledge transfer meeting</t>
  </si>
  <si>
    <t>Review business requirements, proposed services, and solutions</t>
  </si>
  <si>
    <t>Attend project status meetings (3)</t>
  </si>
  <si>
    <t>Review product selection</t>
  </si>
  <si>
    <t>Review Existing Configuration</t>
  </si>
  <si>
    <t>Confirm</t>
  </si>
  <si>
    <t>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</si>
</sst>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Franklin Gothic Book"/>
      <family val="2"/>
    </font>
    <font>
      <sz val="11"/>
      <color rgb="FF000000"/>
      <name val="Franklin Gothic Book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u/>
      <sz val="12"/>
      <color rgb="FFFF0000"/>
      <name val="Arial"/>
      <family val="2"/>
    </font>
    <font>
      <b/>
      <sz val="12"/>
      <color rgb="FFFF0000"/>
      <name val="Arial"/>
      <family val="2"/>
    </font>
    <font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0D94D1"/>
        <bgColor indexed="64"/>
      </patternFill>
    </fill>
    <fill>
      <patternFill patternType="solid">
        <fgColor rgb="FFE98E0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 readingOrder="1"/>
    </xf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44" fontId="6" fillId="0" borderId="0" xfId="1" applyFont="1"/>
    <xf numFmtId="0" fontId="10" fillId="0" borderId="0" xfId="0" applyFont="1"/>
    <xf numFmtId="0" fontId="11" fillId="0" borderId="0" xfId="0" applyFont="1" applyAlignment="1">
      <alignment vertical="center"/>
    </xf>
    <xf numFmtId="164" fontId="7" fillId="0" borderId="0" xfId="0" applyNumberFormat="1" applyFont="1"/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4" fontId="9" fillId="0" borderId="0" xfId="2" applyNumberFormat="1" applyFont="1" applyFill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/>
    <xf numFmtId="2" fontId="11" fillId="0" borderId="0" xfId="3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44" fontId="11" fillId="0" borderId="0" xfId="1" applyFont="1" applyBorder="1"/>
    <xf numFmtId="2" fontId="7" fillId="0" borderId="0" xfId="0" applyNumberFormat="1" applyFont="1" applyAlignment="1">
      <alignment horizontal="left"/>
    </xf>
    <xf numFmtId="44" fontId="6" fillId="0" borderId="0" xfId="1" applyFont="1" applyBorder="1"/>
    <xf numFmtId="9" fontId="11" fillId="0" borderId="0" xfId="5" applyFont="1" applyAlignment="1">
      <alignment horizontal="center"/>
    </xf>
    <xf numFmtId="0" fontId="6" fillId="0" borderId="0" xfId="0" applyFont="1" applyAlignment="1">
      <alignment horizontal="center"/>
    </xf>
    <xf numFmtId="4" fontId="9" fillId="0" borderId="0" xfId="2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3" applyFont="1"/>
    <xf numFmtId="2" fontId="11" fillId="0" borderId="0" xfId="0" applyNumberFormat="1" applyFont="1" applyAlignment="1">
      <alignment horizontal="center" vertical="center"/>
    </xf>
    <xf numFmtId="44" fontId="6" fillId="0" borderId="0" xfId="1" applyFont="1" applyBorder="1" applyAlignment="1">
      <alignment horizontal="center"/>
    </xf>
    <xf numFmtId="0" fontId="13" fillId="0" borderId="0" xfId="0" applyFont="1"/>
    <xf numFmtId="2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3" applyNumberFormat="1" applyFont="1" applyAlignment="1">
      <alignment horizontal="center" vertical="center"/>
    </xf>
    <xf numFmtId="2" fontId="11" fillId="0" borderId="0" xfId="3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0" xfId="2" applyFont="1" applyFill="1" applyAlignment="1">
      <alignment horizontal="left" vertical="center" wrapText="1"/>
    </xf>
    <xf numFmtId="2" fontId="6" fillId="0" borderId="0" xfId="3" applyNumberFormat="1" applyFont="1" applyAlignment="1">
      <alignment horizontal="center"/>
    </xf>
    <xf numFmtId="0" fontId="6" fillId="0" borderId="0" xfId="3" applyFont="1" applyAlignment="1">
      <alignment horizontal="left"/>
    </xf>
    <xf numFmtId="0" fontId="6" fillId="0" borderId="0" xfId="3" applyFont="1"/>
    <xf numFmtId="2" fontId="7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44" fontId="9" fillId="3" borderId="0" xfId="1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left" vertical="center" wrapText="1"/>
    </xf>
    <xf numFmtId="164" fontId="6" fillId="5" borderId="0" xfId="0" applyNumberFormat="1" applyFont="1" applyFill="1"/>
    <xf numFmtId="0" fontId="9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4" fillId="0" borderId="0" xfId="3" applyFont="1"/>
    <xf numFmtId="0" fontId="9" fillId="3" borderId="0" xfId="0" applyFont="1" applyFill="1" applyAlignment="1">
      <alignment horizontal="center" vertical="center"/>
    </xf>
    <xf numFmtId="0" fontId="12" fillId="0" borderId="0" xfId="3" applyFont="1"/>
    <xf numFmtId="0" fontId="11" fillId="0" borderId="0" xfId="2" applyFont="1" applyFill="1" applyAlignment="1">
      <alignment horizontal="left" vertical="center" wrapText="1"/>
    </xf>
    <xf numFmtId="0" fontId="11" fillId="0" borderId="0" xfId="2" applyFont="1" applyFill="1" applyAlignment="1">
      <alignment vertical="center" wrapText="1"/>
    </xf>
    <xf numFmtId="0" fontId="12" fillId="0" borderId="0" xfId="0" applyFont="1"/>
  </cellXfs>
  <cellStyles count="6">
    <cellStyle name="Accent2" xfId="2" builtinId="33"/>
    <cellStyle name="Currency" xfId="1" builtinId="4"/>
    <cellStyle name="Normal" xfId="0" builtinId="0"/>
    <cellStyle name="Normal 2" xfId="3" xr:uid="{CAEF2EF6-12A0-4F5E-A64B-3401E8B0C41A}"/>
    <cellStyle name="Normal 2 2 2" xfId="4" xr:uid="{50577B78-20CE-42B0-BCB4-767D70BC2ABB}"/>
    <cellStyle name="Percent" xfId="5" builtinId="5"/>
  </cellStyles>
  <dxfs count="0"/>
  <tableStyles count="0" defaultTableStyle="TableStyleMedium2" defaultPivotStyle="PivotStyleLight16"/>
  <colors>
    <mruColors>
      <color rgb="FFE98E09"/>
      <color rgb="FFDA8508"/>
      <color rgb="FF0D94D1"/>
      <color rgb="FF2B449B"/>
      <color rgb="FF9C2B0C"/>
      <color rgb="FF7C1E04"/>
      <color rgb="FFB9A5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661147</xdr:colOff>
      <xdr:row>1</xdr:row>
      <xdr:rowOff>138206</xdr:rowOff>
    </xdr:from>
    <xdr:ext cx="5153269" cy="21003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9CEB2C-D70D-4F10-B465-3E7ACAEC8402}"/>
            </a:ext>
          </a:extLst>
        </xdr:cNvPr>
        <xdr:cNvSpPr txBox="1"/>
      </xdr:nvSpPr>
      <xdr:spPr>
        <a:xfrm>
          <a:off x="18568147" y="138206"/>
          <a:ext cx="5153269" cy="2100386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200" b="1" u="sng"/>
            <a:t>MSP Proposal</a:t>
          </a:r>
          <a:r>
            <a:rPr lang="en-US" sz="1200" b="1" u="sng" baseline="0"/>
            <a:t> Notes:</a:t>
          </a:r>
        </a:p>
        <a:p>
          <a:pPr algn="ctr"/>
          <a:endParaRPr lang="en-US" sz="1200" b="1" u="sng" baseline="0"/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en-US" sz="1200" b="0" u="none" baseline="0"/>
            <a:t>Note1</a:t>
          </a:r>
          <a:endParaRPr lang="en-US" sz="1200" b="0" u="none"/>
        </a:p>
      </xdr:txBody>
    </xdr:sp>
    <xdr:clientData/>
  </xdr:oneCellAnchor>
  <xdr:twoCellAnchor>
    <xdr:from>
      <xdr:col>5</xdr:col>
      <xdr:colOff>295088</xdr:colOff>
      <xdr:row>2</xdr:row>
      <xdr:rowOff>48559</xdr:rowOff>
    </xdr:from>
    <xdr:to>
      <xdr:col>11</xdr:col>
      <xdr:colOff>2666254</xdr:colOff>
      <xdr:row>4</xdr:row>
      <xdr:rowOff>26147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602665-3B11-5CB4-6141-0AD7CFC9886E}"/>
            </a:ext>
          </a:extLst>
        </xdr:cNvPr>
        <xdr:cNvSpPr txBox="1"/>
      </xdr:nvSpPr>
      <xdr:spPr>
        <a:xfrm>
          <a:off x="9876117" y="250265"/>
          <a:ext cx="6125137" cy="381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Auvik</a:t>
          </a:r>
          <a:r>
            <a:rPr lang="en-US" sz="1600" b="1" baseline="0"/>
            <a:t> should be deployed with every network deployment / reconfiguration</a:t>
          </a:r>
          <a:endParaRPr 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SisAdmin Elephan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6357C"/>
      </a:accent1>
      <a:accent2>
        <a:srgbClr val="2B449B"/>
      </a:accent2>
      <a:accent3>
        <a:srgbClr val="639ED6"/>
      </a:accent3>
      <a:accent4>
        <a:srgbClr val="F9C269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0EF1-A896-4558-B877-9D8C2B7B0206}">
  <sheetPr>
    <pageSetUpPr fitToPage="1"/>
  </sheetPr>
  <dimension ref="A1:S49"/>
  <sheetViews>
    <sheetView tabSelected="1" topLeftCell="A20" zoomScale="85" zoomScaleNormal="85" zoomScaleSheetLayoutView="100" workbookViewId="0">
      <selection activeCell="A32" sqref="A32:XFD35"/>
    </sheetView>
  </sheetViews>
  <sheetFormatPr defaultColWidth="9.140625" defaultRowHeight="15.75" x14ac:dyDescent="0.25"/>
  <cols>
    <col min="1" max="1" width="86.140625" style="5" customWidth="1"/>
    <col min="2" max="2" width="10.42578125" style="6" customWidth="1"/>
    <col min="3" max="4" width="14" style="7" customWidth="1"/>
    <col min="5" max="5" width="19.140625" style="8" customWidth="1"/>
    <col min="6" max="6" width="9.140625" style="7" customWidth="1"/>
    <col min="7" max="7" width="9.140625" style="9" customWidth="1"/>
    <col min="8" max="8" width="10.85546875" style="7" bestFit="1" customWidth="1"/>
    <col min="9" max="11" width="9.140625" style="7"/>
    <col min="12" max="12" width="60.42578125" style="7" bestFit="1" customWidth="1"/>
    <col min="13" max="13" width="8" style="7" bestFit="1" customWidth="1"/>
    <col min="14" max="14" width="10" style="7" customWidth="1"/>
    <col min="15" max="15" width="6.42578125" style="7" bestFit="1" customWidth="1"/>
    <col min="16" max="16" width="11.42578125" style="7" bestFit="1" customWidth="1"/>
    <col min="17" max="17" width="19.42578125" style="7" bestFit="1" customWidth="1"/>
    <col min="18" max="18" width="18" style="7" bestFit="1" customWidth="1"/>
    <col min="19" max="19" width="21.42578125" style="7" bestFit="1" customWidth="1"/>
    <col min="20" max="16384" width="9.140625" style="7"/>
  </cols>
  <sheetData>
    <row r="1" spans="1:19" hidden="1" x14ac:dyDescent="0.25">
      <c r="A1" s="5" t="s">
        <v>56</v>
      </c>
    </row>
    <row r="2" spans="1:19" x14ac:dyDescent="0.2">
      <c r="A2" s="47" t="s">
        <v>0</v>
      </c>
      <c r="B2" s="47"/>
      <c r="C2" s="47"/>
      <c r="D2" s="47"/>
      <c r="E2" s="53"/>
      <c r="F2" s="10"/>
    </row>
    <row r="3" spans="1:19" x14ac:dyDescent="0.25">
      <c r="A3" s="36" t="s">
        <v>61</v>
      </c>
      <c r="C3" s="12"/>
      <c r="D3" s="12"/>
      <c r="E3" s="54"/>
      <c r="F3" s="10"/>
    </row>
    <row r="4" spans="1:19" x14ac:dyDescent="0.25">
      <c r="C4" s="12"/>
      <c r="D4" s="12"/>
      <c r="E4" s="54"/>
      <c r="F4" s="10"/>
    </row>
    <row r="5" spans="1:19" x14ac:dyDescent="0.2">
      <c r="A5" s="47" t="s">
        <v>1</v>
      </c>
      <c r="B5" s="47"/>
      <c r="C5" s="47"/>
      <c r="D5" s="47"/>
      <c r="E5" s="53"/>
      <c r="F5" s="10"/>
    </row>
    <row r="6" spans="1:19" ht="15" x14ac:dyDescent="0.2">
      <c r="A6" s="58" t="s">
        <v>34</v>
      </c>
      <c r="B6" s="52"/>
      <c r="C6" s="52"/>
      <c r="D6" s="52"/>
      <c r="E6" s="55"/>
      <c r="F6" s="10"/>
      <c r="G6" s="5"/>
      <c r="L6" s="13"/>
    </row>
    <row r="7" spans="1:19" x14ac:dyDescent="0.25">
      <c r="B7" s="14"/>
      <c r="C7" s="15"/>
      <c r="D7" s="15"/>
      <c r="E7" s="56" t="s">
        <v>58</v>
      </c>
      <c r="F7" s="10"/>
    </row>
    <row r="8" spans="1:19" x14ac:dyDescent="0.2">
      <c r="A8" s="60" t="s">
        <v>2</v>
      </c>
      <c r="B8" s="60"/>
      <c r="C8" s="60"/>
      <c r="D8" s="60"/>
      <c r="E8" s="57"/>
      <c r="G8" s="5"/>
      <c r="K8" s="60" t="s">
        <v>20</v>
      </c>
      <c r="L8" s="60"/>
      <c r="M8" s="60"/>
      <c r="N8" s="60"/>
      <c r="O8" s="60"/>
      <c r="P8" s="60"/>
      <c r="Q8" s="60"/>
      <c r="R8" s="60"/>
      <c r="S8" s="60"/>
    </row>
    <row r="9" spans="1:19" s="5" customFormat="1" x14ac:dyDescent="0.2">
      <c r="A9" s="49" t="s">
        <v>3</v>
      </c>
      <c r="B9" s="49"/>
      <c r="C9" s="49"/>
      <c r="D9" s="49"/>
      <c r="E9" s="50" t="s">
        <v>4</v>
      </c>
      <c r="K9" s="49" t="s">
        <v>21</v>
      </c>
      <c r="L9" s="49" t="s">
        <v>22</v>
      </c>
      <c r="M9" s="49" t="s">
        <v>23</v>
      </c>
      <c r="N9" s="49" t="s">
        <v>24</v>
      </c>
      <c r="O9" s="50" t="s">
        <v>25</v>
      </c>
      <c r="P9" s="49" t="s">
        <v>26</v>
      </c>
      <c r="Q9" s="49" t="s">
        <v>27</v>
      </c>
      <c r="R9" s="49" t="s">
        <v>28</v>
      </c>
      <c r="S9" s="49" t="s">
        <v>29</v>
      </c>
    </row>
    <row r="10" spans="1:19" s="5" customFormat="1" x14ac:dyDescent="0.2">
      <c r="A10" s="16" t="s">
        <v>5</v>
      </c>
      <c r="B10" s="17"/>
      <c r="C10" s="17"/>
      <c r="D10" s="17"/>
      <c r="E10" s="18"/>
      <c r="F10" s="17"/>
      <c r="K10" s="19" t="s">
        <v>36</v>
      </c>
      <c r="L10" s="20"/>
      <c r="M10" s="20"/>
      <c r="N10" s="20"/>
      <c r="O10" s="20"/>
      <c r="P10" s="20"/>
      <c r="Q10" s="20"/>
      <c r="R10" s="20"/>
      <c r="S10" s="20"/>
    </row>
    <row r="11" spans="1:19" s="5" customFormat="1" ht="15" x14ac:dyDescent="0.2">
      <c r="A11" s="17" t="s">
        <v>6</v>
      </c>
      <c r="B11" s="17"/>
      <c r="C11" s="17"/>
      <c r="D11" s="17"/>
      <c r="E11" s="18"/>
      <c r="F11" s="18">
        <v>1</v>
      </c>
      <c r="K11" s="21">
        <f>E46</f>
        <v>0.25</v>
      </c>
      <c r="L11" s="7" t="s">
        <v>60</v>
      </c>
      <c r="M11" s="21"/>
      <c r="N11" s="21"/>
      <c r="O11" s="21"/>
      <c r="P11" s="22">
        <v>185</v>
      </c>
      <c r="Q11" s="22">
        <f>K11*P11</f>
        <v>46.25</v>
      </c>
      <c r="R11" s="17"/>
      <c r="S11" s="7"/>
    </row>
    <row r="12" spans="1:19" s="5" customFormat="1" ht="15" x14ac:dyDescent="0.2">
      <c r="A12" s="17" t="s">
        <v>7</v>
      </c>
      <c r="B12" s="17"/>
      <c r="C12" s="17"/>
      <c r="D12" s="17"/>
      <c r="E12" s="18"/>
      <c r="F12" s="18">
        <v>1</v>
      </c>
      <c r="K12" s="21"/>
      <c r="L12" s="17"/>
      <c r="M12" s="21"/>
      <c r="N12" s="21"/>
      <c r="O12" s="21"/>
      <c r="P12" s="22"/>
      <c r="Q12" s="22"/>
      <c r="R12" s="17"/>
      <c r="S12" s="7"/>
    </row>
    <row r="13" spans="1:19" s="5" customFormat="1" x14ac:dyDescent="0.25">
      <c r="A13" s="17" t="s">
        <v>8</v>
      </c>
      <c r="B13" s="17"/>
      <c r="C13" s="17"/>
      <c r="D13" s="17"/>
      <c r="E13" s="18"/>
      <c r="F13" s="18">
        <v>0.25</v>
      </c>
      <c r="K13" s="23" t="s">
        <v>37</v>
      </c>
      <c r="M13" s="14"/>
      <c r="N13" s="14"/>
      <c r="O13" s="14"/>
      <c r="P13" s="24"/>
      <c r="Q13" s="24"/>
      <c r="R13" s="7"/>
      <c r="S13" s="7"/>
    </row>
    <row r="14" spans="1:19" s="5" customFormat="1" ht="15.75" customHeight="1" x14ac:dyDescent="0.2">
      <c r="A14" s="17" t="s">
        <v>9</v>
      </c>
      <c r="B14" s="17"/>
      <c r="C14" s="17"/>
      <c r="D14" s="17"/>
      <c r="E14" s="18"/>
      <c r="F14" s="18">
        <v>1</v>
      </c>
      <c r="K14" s="14"/>
      <c r="L14" s="17" t="s">
        <v>54</v>
      </c>
      <c r="M14" s="14"/>
      <c r="N14" s="25">
        <v>0.3</v>
      </c>
      <c r="O14" s="14"/>
      <c r="P14" s="24">
        <f>O14*(1+N14)</f>
        <v>0</v>
      </c>
      <c r="Q14" s="24">
        <f>P14*K14</f>
        <v>0</v>
      </c>
      <c r="R14" s="7"/>
      <c r="S14" s="7"/>
    </row>
    <row r="15" spans="1:19" s="5" customFormat="1" ht="15" x14ac:dyDescent="0.2">
      <c r="A15" s="17" t="s">
        <v>10</v>
      </c>
      <c r="B15" s="17"/>
      <c r="C15" s="17"/>
      <c r="D15" s="17"/>
      <c r="E15" s="18"/>
      <c r="F15" s="18">
        <v>7</v>
      </c>
      <c r="K15" s="14"/>
      <c r="L15" s="17" t="s">
        <v>55</v>
      </c>
      <c r="M15" s="14"/>
      <c r="N15" s="25">
        <v>1</v>
      </c>
      <c r="O15" s="14"/>
      <c r="P15" s="24">
        <f>O15*(1+N15)</f>
        <v>0</v>
      </c>
      <c r="Q15" s="24">
        <f>P15*K15</f>
        <v>0</v>
      </c>
      <c r="R15" s="7"/>
      <c r="S15" s="7"/>
    </row>
    <row r="16" spans="1:19" s="5" customFormat="1" ht="15" x14ac:dyDescent="0.2">
      <c r="A16" s="17" t="s">
        <v>11</v>
      </c>
      <c r="B16" s="17"/>
      <c r="C16" s="17"/>
      <c r="D16" s="17"/>
      <c r="E16" s="18"/>
      <c r="F16" s="18"/>
      <c r="G16" s="26"/>
      <c r="K16" s="14"/>
      <c r="L16" s="17"/>
      <c r="M16" s="14"/>
      <c r="N16" s="25"/>
      <c r="O16" s="14"/>
      <c r="P16" s="24"/>
      <c r="Q16" s="24"/>
      <c r="R16" s="7"/>
      <c r="S16" s="7"/>
    </row>
    <row r="17" spans="1:19" s="5" customFormat="1" ht="15" x14ac:dyDescent="0.2">
      <c r="A17" s="17" t="s">
        <v>12</v>
      </c>
      <c r="B17" s="17"/>
      <c r="C17" s="17"/>
      <c r="D17" s="17"/>
      <c r="E17" s="18"/>
      <c r="F17" s="18">
        <v>0.25</v>
      </c>
      <c r="G17" s="26"/>
      <c r="K17" s="14"/>
      <c r="L17" s="17"/>
      <c r="M17" s="14"/>
      <c r="N17" s="25"/>
      <c r="O17" s="14"/>
      <c r="P17" s="24"/>
      <c r="Q17" s="24"/>
      <c r="R17" s="7"/>
      <c r="S17" s="7"/>
    </row>
    <row r="18" spans="1:19" s="5" customFormat="1" x14ac:dyDescent="0.2">
      <c r="A18" s="17" t="s">
        <v>53</v>
      </c>
      <c r="B18" s="17"/>
      <c r="C18" s="17"/>
      <c r="D18" s="17"/>
      <c r="E18" s="18"/>
      <c r="F18" s="18">
        <f>G18*H18</f>
        <v>0</v>
      </c>
      <c r="G18" s="29"/>
      <c r="H18" s="17"/>
      <c r="K18" s="47"/>
      <c r="L18" s="48" t="s">
        <v>30</v>
      </c>
      <c r="M18" s="48"/>
      <c r="N18" s="48"/>
      <c r="O18" s="48"/>
      <c r="P18" s="48"/>
      <c r="Q18" s="51">
        <f>SUM(Q11:Q14)</f>
        <v>46.25</v>
      </c>
      <c r="R18" s="48"/>
      <c r="S18" s="48"/>
    </row>
    <row r="19" spans="1:19" s="5" customFormat="1" x14ac:dyDescent="0.25">
      <c r="A19" s="30"/>
      <c r="B19" s="31"/>
      <c r="C19" s="17"/>
      <c r="D19" s="17"/>
      <c r="E19" s="18"/>
      <c r="F19" s="29"/>
      <c r="G19" s="26"/>
      <c r="K19" s="14"/>
      <c r="M19" s="14"/>
      <c r="N19" s="14"/>
      <c r="O19" s="14"/>
      <c r="P19" s="27"/>
      <c r="Q19" s="28"/>
      <c r="R19" s="7"/>
      <c r="S19" s="7"/>
    </row>
    <row r="20" spans="1:19" s="5" customFormat="1" x14ac:dyDescent="0.2">
      <c r="A20" s="59" t="s">
        <v>13</v>
      </c>
      <c r="E20" s="43" t="s">
        <v>69</v>
      </c>
      <c r="F20" s="14"/>
      <c r="G20" s="26"/>
      <c r="H20" s="7"/>
      <c r="I20" s="7"/>
      <c r="K20" s="49" t="s">
        <v>21</v>
      </c>
      <c r="L20" s="49" t="s">
        <v>31</v>
      </c>
      <c r="M20" s="49" t="s">
        <v>23</v>
      </c>
      <c r="N20" s="49" t="s">
        <v>24</v>
      </c>
      <c r="O20" s="50" t="s">
        <v>25</v>
      </c>
      <c r="P20" s="49" t="s">
        <v>26</v>
      </c>
      <c r="Q20" s="49" t="s">
        <v>27</v>
      </c>
      <c r="R20" s="49" t="s">
        <v>28</v>
      </c>
      <c r="S20" s="49" t="s">
        <v>29</v>
      </c>
    </row>
    <row r="21" spans="1:19" s="5" customFormat="1" x14ac:dyDescent="0.2">
      <c r="A21" s="45" t="s">
        <v>14</v>
      </c>
      <c r="E21" s="43"/>
      <c r="F21" s="43" t="s">
        <v>68</v>
      </c>
      <c r="G21" s="18"/>
      <c r="H21" s="7"/>
      <c r="I21" s="7"/>
      <c r="K21" s="19" t="s">
        <v>59</v>
      </c>
      <c r="L21" s="20"/>
      <c r="M21" s="20"/>
      <c r="N21" s="20"/>
      <c r="O21" s="20"/>
      <c r="P21" s="20"/>
      <c r="Q21" s="20"/>
      <c r="R21" s="20"/>
      <c r="S21" s="20"/>
    </row>
    <row r="22" spans="1:19" s="5" customFormat="1" ht="15" x14ac:dyDescent="0.2">
      <c r="A22" s="44" t="s">
        <v>62</v>
      </c>
      <c r="E22" s="43"/>
      <c r="F22" s="43" t="s">
        <v>64</v>
      </c>
      <c r="G22" s="18"/>
      <c r="H22" s="17"/>
      <c r="I22" s="7"/>
      <c r="K22" s="14"/>
      <c r="L22" s="17" t="s">
        <v>32</v>
      </c>
      <c r="M22" s="14"/>
      <c r="N22" s="14"/>
      <c r="O22" s="14"/>
      <c r="P22" s="32"/>
      <c r="Q22" s="32"/>
      <c r="R22" s="7"/>
      <c r="S22" s="7"/>
    </row>
    <row r="23" spans="1:19" s="5" customFormat="1" ht="15" x14ac:dyDescent="0.2">
      <c r="A23" s="44" t="s">
        <v>63</v>
      </c>
      <c r="E23" s="43"/>
      <c r="F23" s="43" t="s">
        <v>65</v>
      </c>
      <c r="G23" s="18"/>
      <c r="H23" s="17"/>
      <c r="I23" s="7"/>
      <c r="K23" s="14"/>
      <c r="L23" s="17"/>
      <c r="M23" s="14"/>
      <c r="N23" s="14"/>
      <c r="O23" s="14"/>
      <c r="P23" s="32"/>
      <c r="Q23" s="32"/>
      <c r="R23" s="7"/>
      <c r="S23" s="7"/>
    </row>
    <row r="24" spans="1:19" s="5" customFormat="1" ht="15" x14ac:dyDescent="0.2">
      <c r="A24" s="44" t="s">
        <v>67</v>
      </c>
      <c r="E24" s="43"/>
      <c r="F24" s="43" t="s">
        <v>66</v>
      </c>
      <c r="G24" s="18"/>
      <c r="H24" s="17"/>
      <c r="I24" s="7"/>
      <c r="K24" s="14"/>
      <c r="M24" s="14"/>
      <c r="N24" s="14"/>
      <c r="O24" s="14"/>
      <c r="P24" s="32"/>
      <c r="Q24" s="32"/>
      <c r="R24" s="7"/>
      <c r="S24" s="7"/>
    </row>
    <row r="25" spans="1:19" s="5" customFormat="1" ht="15" x14ac:dyDescent="0.2">
      <c r="A25" s="30"/>
      <c r="B25" s="31"/>
      <c r="C25" s="17"/>
      <c r="D25" s="17"/>
      <c r="E25" s="18"/>
      <c r="F25" s="18"/>
      <c r="G25" s="18"/>
      <c r="H25" s="7"/>
      <c r="I25" s="7"/>
    </row>
    <row r="26" spans="1:19" s="5" customFormat="1" x14ac:dyDescent="0.2">
      <c r="A26" s="49" t="s">
        <v>15</v>
      </c>
      <c r="B26" s="49"/>
      <c r="C26" s="49"/>
      <c r="D26" s="49"/>
      <c r="E26" s="50" t="s">
        <v>4</v>
      </c>
      <c r="F26" s="18"/>
      <c r="H26" s="7"/>
      <c r="K26" s="47"/>
      <c r="L26" s="48" t="s">
        <v>33</v>
      </c>
      <c r="M26" s="48"/>
      <c r="N26" s="48"/>
      <c r="O26" s="48"/>
      <c r="P26" s="48"/>
      <c r="Q26" s="51">
        <f>SUM(Q22:Q24)</f>
        <v>0</v>
      </c>
      <c r="R26" s="48"/>
      <c r="S26" s="48"/>
    </row>
    <row r="27" spans="1:19" ht="15" x14ac:dyDescent="0.2">
      <c r="A27" s="61" t="s">
        <v>70</v>
      </c>
      <c r="B27" s="17"/>
      <c r="C27" s="17"/>
      <c r="D27" s="17"/>
      <c r="E27" s="18"/>
      <c r="F27" s="18"/>
      <c r="I27" s="5"/>
      <c r="K27" s="5"/>
      <c r="L27" s="5"/>
      <c r="M27" s="5"/>
      <c r="N27" s="5"/>
      <c r="O27" s="5"/>
      <c r="P27" s="5"/>
      <c r="Q27" s="5"/>
      <c r="R27" s="5"/>
      <c r="S27" s="5"/>
    </row>
    <row r="28" spans="1:19" s="5" customFormat="1" ht="15" x14ac:dyDescent="0.2">
      <c r="A28" s="62" t="s">
        <v>71</v>
      </c>
      <c r="B28" s="17"/>
      <c r="C28" s="17"/>
      <c r="D28" s="17"/>
      <c r="E28" s="18"/>
      <c r="F28" s="18">
        <v>1</v>
      </c>
      <c r="H28" s="7"/>
    </row>
    <row r="29" spans="1:19" s="5" customFormat="1" ht="15" x14ac:dyDescent="0.2">
      <c r="A29" s="62" t="s">
        <v>72</v>
      </c>
      <c r="B29" s="17"/>
      <c r="C29" s="17"/>
      <c r="D29" s="17"/>
      <c r="E29" s="18"/>
      <c r="F29" s="18"/>
    </row>
    <row r="30" spans="1:19" s="5" customFormat="1" ht="15" x14ac:dyDescent="0.2">
      <c r="A30" s="62" t="s">
        <v>73</v>
      </c>
      <c r="B30" s="17"/>
      <c r="C30" s="17"/>
      <c r="D30" s="17"/>
      <c r="E30" s="18"/>
      <c r="F30" s="18">
        <f t="shared" ref="F30" si="0">G30*H30</f>
        <v>1.5</v>
      </c>
      <c r="G30" s="18">
        <v>0.5</v>
      </c>
      <c r="H30" s="17">
        <v>3</v>
      </c>
      <c r="I30" s="7"/>
    </row>
    <row r="31" spans="1:19" s="5" customFormat="1" ht="15" x14ac:dyDescent="0.2">
      <c r="A31" s="63" t="s">
        <v>74</v>
      </c>
      <c r="B31" s="17"/>
      <c r="C31" s="17"/>
      <c r="D31" s="17"/>
      <c r="E31" s="18"/>
      <c r="F31" s="18">
        <v>0.75</v>
      </c>
      <c r="K31" s="7"/>
      <c r="L31" s="7"/>
      <c r="M31" s="7"/>
      <c r="N31" s="7"/>
      <c r="O31" s="7"/>
      <c r="P31" s="7"/>
      <c r="Q31" s="7"/>
      <c r="R31" s="7"/>
      <c r="S31" s="7"/>
    </row>
    <row r="32" spans="1:19" s="5" customFormat="1" ht="15.75" customHeight="1" x14ac:dyDescent="0.2">
      <c r="A32" s="17"/>
      <c r="B32" s="17"/>
      <c r="C32" s="17"/>
      <c r="D32" s="17"/>
      <c r="E32" s="18"/>
      <c r="F32" s="18"/>
    </row>
    <row r="33" spans="1:19" s="5" customFormat="1" x14ac:dyDescent="0.25">
      <c r="A33" s="64" t="s">
        <v>75</v>
      </c>
      <c r="B33" s="33"/>
      <c r="C33" s="17"/>
      <c r="D33" s="17"/>
      <c r="E33" s="18"/>
      <c r="F33" s="18"/>
      <c r="G33" s="34"/>
    </row>
    <row r="34" spans="1:19" s="5" customFormat="1" x14ac:dyDescent="0.25">
      <c r="A34" s="17" t="s">
        <v>76</v>
      </c>
      <c r="B34" s="33"/>
      <c r="C34" s="17"/>
      <c r="D34" s="17"/>
      <c r="E34" s="18"/>
      <c r="F34" s="18"/>
      <c r="G34" s="34"/>
    </row>
    <row r="35" spans="1:19" s="5" customFormat="1" x14ac:dyDescent="0.25">
      <c r="A35" s="17" t="s">
        <v>77</v>
      </c>
      <c r="B35" s="33"/>
      <c r="C35" s="17"/>
      <c r="D35" s="17"/>
      <c r="E35" s="18"/>
      <c r="F35" s="18"/>
      <c r="G35" s="34"/>
    </row>
    <row r="36" spans="1:19" s="5" customFormat="1" x14ac:dyDescent="0.25">
      <c r="A36" s="17"/>
      <c r="B36" s="33"/>
      <c r="C36" s="17"/>
      <c r="D36" s="17"/>
      <c r="E36" s="18"/>
      <c r="F36" s="18"/>
      <c r="G36" s="34"/>
    </row>
    <row r="37" spans="1:19" s="11" customFormat="1" ht="15.75" customHeight="1" x14ac:dyDescent="0.2">
      <c r="A37" s="35" t="s">
        <v>57</v>
      </c>
      <c r="B37" s="36"/>
      <c r="C37" s="37"/>
      <c r="D37" s="37"/>
      <c r="E37" s="37">
        <v>0.25</v>
      </c>
      <c r="F37" s="38"/>
      <c r="K37" s="5"/>
      <c r="L37" s="5"/>
      <c r="M37" s="5"/>
      <c r="N37" s="5"/>
      <c r="O37" s="5"/>
      <c r="P37" s="5"/>
      <c r="Q37" s="5"/>
      <c r="R37" s="5"/>
      <c r="S37" s="5"/>
    </row>
    <row r="38" spans="1:19" s="11" customFormat="1" ht="15.75" customHeight="1" x14ac:dyDescent="0.2">
      <c r="A38" s="36" t="s">
        <v>35</v>
      </c>
      <c r="B38" s="37"/>
      <c r="C38" s="37"/>
      <c r="D38" s="37"/>
      <c r="E38" s="39"/>
      <c r="F38" s="38"/>
      <c r="G38" s="40"/>
      <c r="K38" s="5"/>
      <c r="L38" s="5"/>
      <c r="M38" s="5"/>
      <c r="N38" s="5"/>
      <c r="O38" s="5"/>
      <c r="P38" s="5"/>
      <c r="Q38" s="5"/>
      <c r="R38" s="5"/>
      <c r="S38" s="5"/>
    </row>
    <row r="39" spans="1:19" s="11" customFormat="1" ht="15.75" customHeight="1" x14ac:dyDescent="0.2">
      <c r="A39" s="36"/>
      <c r="B39" s="37"/>
      <c r="C39" s="37"/>
      <c r="D39" s="37"/>
      <c r="E39" s="39"/>
      <c r="F39" s="38"/>
      <c r="G39" s="40"/>
      <c r="K39" s="5"/>
      <c r="L39" s="5"/>
      <c r="M39" s="5"/>
      <c r="N39" s="5"/>
      <c r="O39" s="5"/>
      <c r="P39" s="5"/>
      <c r="Q39" s="5"/>
      <c r="R39" s="5"/>
      <c r="S39" s="5"/>
    </row>
    <row r="40" spans="1:19" s="5" customFormat="1" x14ac:dyDescent="0.2">
      <c r="A40" s="49" t="s">
        <v>16</v>
      </c>
      <c r="B40" s="49"/>
      <c r="C40" s="49"/>
      <c r="D40" s="49"/>
      <c r="E40" s="50" t="s">
        <v>4</v>
      </c>
      <c r="F40" s="18"/>
    </row>
    <row r="41" spans="1:19" s="5" customFormat="1" ht="15" x14ac:dyDescent="0.2">
      <c r="A41" s="41"/>
      <c r="E41" s="18"/>
      <c r="F41" s="18"/>
    </row>
    <row r="42" spans="1:19" s="5" customFormat="1" x14ac:dyDescent="0.2">
      <c r="A42" s="49" t="s">
        <v>17</v>
      </c>
      <c r="B42" s="49"/>
      <c r="C42" s="49"/>
      <c r="D42" s="49"/>
      <c r="E42" s="50" t="s">
        <v>4</v>
      </c>
      <c r="F42" s="18"/>
      <c r="G42" s="42"/>
    </row>
    <row r="43" spans="1:19" s="5" customFormat="1" ht="15" x14ac:dyDescent="0.2">
      <c r="E43" s="18"/>
      <c r="F43" s="18"/>
    </row>
    <row r="44" spans="1:19" x14ac:dyDescent="0.2">
      <c r="A44" s="49" t="s">
        <v>18</v>
      </c>
      <c r="B44" s="49"/>
      <c r="C44" s="49"/>
      <c r="D44" s="49"/>
      <c r="E44" s="50" t="s">
        <v>4</v>
      </c>
      <c r="F44" s="18"/>
      <c r="G44" s="34"/>
      <c r="K44" s="5"/>
      <c r="L44" s="5"/>
      <c r="M44" s="5"/>
      <c r="N44" s="5"/>
      <c r="O44" s="5"/>
      <c r="P44" s="5"/>
      <c r="Q44" s="5"/>
      <c r="R44" s="5"/>
      <c r="S44" s="5"/>
    </row>
    <row r="45" spans="1:19" ht="14.25" customHeight="1" x14ac:dyDescent="0.2">
      <c r="A45" s="35"/>
      <c r="B45" s="34"/>
      <c r="C45" s="37"/>
      <c r="D45" s="37"/>
      <c r="E45" s="18"/>
      <c r="F45" s="18"/>
      <c r="K45" s="5"/>
      <c r="L45" s="5"/>
      <c r="M45" s="5"/>
      <c r="N45" s="5"/>
      <c r="O45" s="5"/>
      <c r="P45" s="5"/>
      <c r="Q45" s="5"/>
      <c r="R45" s="5"/>
      <c r="S45" s="5"/>
    </row>
    <row r="46" spans="1:19" ht="15.75" customHeight="1" x14ac:dyDescent="0.2">
      <c r="A46" s="49"/>
      <c r="B46" s="49"/>
      <c r="C46" s="49"/>
      <c r="D46" s="49"/>
      <c r="E46" s="50">
        <f>SUM(E10:E45)</f>
        <v>0.25</v>
      </c>
      <c r="F46" s="43"/>
    </row>
    <row r="47" spans="1:19" ht="15.75" customHeight="1" x14ac:dyDescent="0.2">
      <c r="A47" s="39"/>
      <c r="B47" s="46"/>
      <c r="C47" s="37"/>
      <c r="D47" s="37"/>
      <c r="E47" s="37"/>
      <c r="F47" s="43"/>
    </row>
    <row r="48" spans="1:19" ht="15.75" customHeight="1" x14ac:dyDescent="0.2">
      <c r="A48" s="47" t="s">
        <v>19</v>
      </c>
      <c r="B48" s="47"/>
      <c r="C48" s="47"/>
      <c r="D48" s="47"/>
      <c r="E48" s="47"/>
      <c r="F48" s="43"/>
    </row>
    <row r="49" spans="1:2" x14ac:dyDescent="0.2">
      <c r="A49" s="36"/>
      <c r="B49" s="39"/>
    </row>
  </sheetData>
  <mergeCells count="2">
    <mergeCell ref="K8:S8"/>
    <mergeCell ref="A8:D8"/>
  </mergeCells>
  <pageMargins left="0.5" right="0.5" top="0.5" bottom="0.75" header="0.3" footer="0.3"/>
  <pageSetup scale="73" fitToHeight="0" orientation="portrait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F1AF-80FB-4E86-9836-EF518B5E8FDE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AE46-D851-4404-AC69-EB8877B65636}">
  <dimension ref="A1"/>
  <sheetViews>
    <sheetView workbookViewId="0">
      <selection activeCell="G68" sqref="G68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3C1A-71E9-4DD6-AD7F-BF444FDC623E}">
  <dimension ref="A1:G26"/>
  <sheetViews>
    <sheetView workbookViewId="0">
      <selection activeCell="A15" sqref="A15"/>
    </sheetView>
  </sheetViews>
  <sheetFormatPr defaultColWidth="8.85546875" defaultRowHeight="15" x14ac:dyDescent="0.25"/>
  <cols>
    <col min="1" max="1" width="42.42578125" bestFit="1" customWidth="1"/>
  </cols>
  <sheetData>
    <row r="1" spans="1:7" ht="15.75" x14ac:dyDescent="0.3">
      <c r="A1" s="2" t="s">
        <v>38</v>
      </c>
      <c r="B1" s="2" t="s">
        <v>24</v>
      </c>
      <c r="C1" s="2" t="s">
        <v>39</v>
      </c>
      <c r="D1" s="3"/>
      <c r="E1" s="3"/>
      <c r="F1" s="3"/>
      <c r="G1" s="3"/>
    </row>
    <row r="2" spans="1:7" ht="15.75" x14ac:dyDescent="0.3">
      <c r="A2" s="3" t="s">
        <v>40</v>
      </c>
      <c r="B2" s="4">
        <v>0.3</v>
      </c>
      <c r="C2" s="3"/>
      <c r="D2" s="3"/>
      <c r="E2" s="3"/>
      <c r="F2" s="3"/>
      <c r="G2" s="3"/>
    </row>
    <row r="3" spans="1:7" ht="15.75" x14ac:dyDescent="0.3">
      <c r="A3" s="3" t="s">
        <v>41</v>
      </c>
      <c r="B3" s="4">
        <v>0.3</v>
      </c>
      <c r="C3" s="3"/>
      <c r="D3" s="3"/>
      <c r="E3" s="3"/>
      <c r="F3" s="3"/>
      <c r="G3" s="3"/>
    </row>
    <row r="4" spans="1:7" ht="15.75" x14ac:dyDescent="0.3">
      <c r="A4" s="3" t="s">
        <v>42</v>
      </c>
      <c r="B4" s="3" t="s">
        <v>23</v>
      </c>
      <c r="C4" s="3" t="s">
        <v>43</v>
      </c>
      <c r="D4" s="3"/>
      <c r="E4" s="3"/>
      <c r="F4" s="3"/>
      <c r="G4" s="3"/>
    </row>
    <row r="5" spans="1:7" ht="15.75" x14ac:dyDescent="0.3">
      <c r="A5" s="3" t="s">
        <v>44</v>
      </c>
      <c r="B5" s="4">
        <v>0.3</v>
      </c>
      <c r="C5" s="3"/>
      <c r="D5" s="3"/>
      <c r="E5" s="3"/>
      <c r="F5" s="3"/>
      <c r="G5" s="3"/>
    </row>
    <row r="6" spans="1:7" ht="15.75" x14ac:dyDescent="0.3">
      <c r="A6" s="3" t="s">
        <v>45</v>
      </c>
      <c r="B6" s="4">
        <v>0.3</v>
      </c>
      <c r="C6" s="3"/>
      <c r="D6" s="3"/>
      <c r="E6" s="3"/>
      <c r="F6" s="3"/>
      <c r="G6" s="3"/>
    </row>
    <row r="7" spans="1:7" ht="15.75" x14ac:dyDescent="0.3">
      <c r="A7" s="3" t="s">
        <v>46</v>
      </c>
      <c r="B7" s="4">
        <v>0.3</v>
      </c>
      <c r="C7" s="3"/>
      <c r="D7" s="3"/>
      <c r="E7" s="3"/>
      <c r="F7" s="3"/>
      <c r="G7" s="3"/>
    </row>
    <row r="8" spans="1:7" ht="15.75" x14ac:dyDescent="0.3">
      <c r="A8" s="3" t="s">
        <v>47</v>
      </c>
      <c r="B8" s="4">
        <v>0.5</v>
      </c>
      <c r="C8" s="3"/>
      <c r="D8" s="3"/>
      <c r="E8" s="3"/>
      <c r="F8" s="3"/>
      <c r="G8" s="3"/>
    </row>
    <row r="9" spans="1:7" ht="15.75" x14ac:dyDescent="0.3">
      <c r="A9" s="3" t="s">
        <v>48</v>
      </c>
      <c r="B9" s="4">
        <v>1</v>
      </c>
      <c r="C9" s="3"/>
      <c r="D9" s="3"/>
      <c r="E9" s="3"/>
      <c r="F9" s="3"/>
      <c r="G9" s="3"/>
    </row>
    <row r="10" spans="1:7" ht="15.75" x14ac:dyDescent="0.3">
      <c r="A10" s="3" t="s">
        <v>49</v>
      </c>
      <c r="B10" s="4">
        <v>0.3</v>
      </c>
      <c r="C10" s="3"/>
      <c r="D10" s="3"/>
      <c r="E10" s="3"/>
      <c r="F10" s="3"/>
      <c r="G10" s="3"/>
    </row>
    <row r="11" spans="1:7" ht="15.75" x14ac:dyDescent="0.3">
      <c r="A11" s="3" t="s">
        <v>50</v>
      </c>
      <c r="B11" s="4">
        <v>0.3</v>
      </c>
      <c r="C11" s="3" t="s">
        <v>51</v>
      </c>
      <c r="D11" s="3"/>
      <c r="E11" s="3"/>
      <c r="F11" s="3"/>
      <c r="G11" s="3"/>
    </row>
    <row r="12" spans="1:7" ht="15.75" x14ac:dyDescent="0.3">
      <c r="A12" s="3" t="s">
        <v>52</v>
      </c>
      <c r="B12" t="s">
        <v>23</v>
      </c>
    </row>
    <row r="13" spans="1:7" ht="13.5" customHeight="1" x14ac:dyDescent="0.25"/>
    <row r="16" spans="1:7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1D1271329524498AFDDD32DE588E03" ma:contentTypeVersion="31" ma:contentTypeDescription="Create a new document." ma:contentTypeScope="" ma:versionID="bcc7c74bef152abac329e8f68934cefb">
  <xsd:schema xmlns:xsd="http://www.w3.org/2001/XMLSchema" xmlns:xs="http://www.w3.org/2001/XMLSchema" xmlns:p="http://schemas.microsoft.com/office/2006/metadata/properties" xmlns:ns2="7e83d2dc-68d1-4912-b76c-bebf2ac3755c" xmlns:ns3="8796b9fa-d9fc-49ee-bfe3-e8e3f6c8e6b9" targetNamespace="http://schemas.microsoft.com/office/2006/metadata/properties" ma:root="true" ma:fieldsID="4995bf6cf66721c51a83603a6b74daeb" ns2:_="" ns3:_="">
    <xsd:import namespace="7e83d2dc-68d1-4912-b76c-bebf2ac3755c"/>
    <xsd:import namespace="8796b9fa-d9fc-49ee-bfe3-e8e3f6c8e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k6de67457aa54369b46d9b743cebe52d" minOccurs="0"/>
                <xsd:element ref="ns2:ke3c6b578e6e419e96c01ebc87dfb13c" minOccurs="0"/>
                <xsd:element ref="ns2:adbe64da05be4baa97c0a1b9d9fc7399" minOccurs="0"/>
                <xsd:element ref="ns2:p6eb1c22fb0c4f898d8236608a18df96" minOccurs="0"/>
                <xsd:element ref="ns2:ec89297846d242efab2fe5ea3581dbef" minOccurs="0"/>
                <xsd:element ref="ns2:hb51427408e64abaa9a060a875d8049b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d2dc-68d1-4912-b76c-bebf2ac37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c7ed5e9-1a20-4fbe-9214-deddaed599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k6de67457aa54369b46d9b743cebe52d" ma:index="25" nillable="true" ma:taxonomy="true" ma:internalName="k6de67457aa54369b46d9b743cebe52d" ma:taxonomyFieldName="Technology" ma:displayName="Technology" ma:default="" ma:fieldId="{46de6745-7aa5-4369-b46d-9b743cebe52d}" ma:taxonomyMulti="true" ma:sspId="ec7ed5e9-1a20-4fbe-9214-deddaed599c0" ma:termSetId="6ec82f2c-d318-4689-9d90-cb8fd82e23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e3c6b578e6e419e96c01ebc87dfb13c" ma:index="27" nillable="true" ma:taxonomy="true" ma:internalName="ke3c6b578e6e419e96c01ebc87dfb13c" ma:taxonomyFieldName="Product" ma:displayName="Product" ma:default="" ma:fieldId="{4e3c6b57-8e6e-419e-96c0-1ebc87dfb13c}" ma:taxonomyMulti="true" ma:sspId="ec7ed5e9-1a20-4fbe-9214-deddaed599c0" ma:termSetId="e57c09fe-1169-4487-855a-b29919d6ed8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be64da05be4baa97c0a1b9d9fc7399" ma:index="29" nillable="true" ma:taxonomy="true" ma:internalName="adbe64da05be4baa97c0a1b9d9fc7399" ma:taxonomyFieldName="Business_x0020_Requirement_x0020_" ma:displayName="Business Requirement " ma:default="" ma:fieldId="{adbe64da-05be-4baa-97c0-a1b9d9fc7399}" ma:taxonomyMulti="true" ma:sspId="ec7ed5e9-1a20-4fbe-9214-deddaed599c0" ma:termSetId="581c5635-fa94-4700-bb43-988396e1a05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eb1c22fb0c4f898d8236608a18df96" ma:index="31" nillable="true" ma:taxonomy="true" ma:internalName="p6eb1c22fb0c4f898d8236608a18df96" ma:taxonomyFieldName="Operation" ma:displayName="Operation" ma:default="" ma:fieldId="{96eb1c22-fb0c-4f89-8d82-36608a18df96}" ma:taxonomyMulti="true" ma:sspId="ec7ed5e9-1a20-4fbe-9214-deddaed599c0" ma:termSetId="8e2649f9-063f-492d-b295-30cc7fdb1b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89297846d242efab2fe5ea3581dbef" ma:index="33" nillable="true" ma:taxonomy="true" ma:internalName="ec89297846d242efab2fe5ea3581dbef" ma:taxonomyFieldName="Endpoint" ma:displayName="Endpoint" ma:default="" ma:fieldId="{ec892978-46d2-42ef-ab2f-e5ea3581dbef}" ma:taxonomyMulti="true" ma:sspId="ec7ed5e9-1a20-4fbe-9214-deddaed599c0" ma:termSetId="444bbf98-b73e-44d0-aa23-f29a827585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b51427408e64abaa9a060a875d8049b" ma:index="35" nillable="true" ma:taxonomy="true" ma:internalName="hb51427408e64abaa9a060a875d8049b" ma:taxonomyFieldName="MSP_x0020_Name" ma:displayName="MSP Name" ma:default="" ma:fieldId="{1b514274-08e6-4aba-a9a0-60a875d8049b}" ma:sspId="ec7ed5e9-1a20-4fbe-9214-deddaed599c0" ma:termSetId="ba4dea1d-b2f4-4d2d-8c54-a9a17d3921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6b9fa-d9fc-49ee-bfe3-e8e3f6c8e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71121b-a469-4aa2-a093-f6f462e4a03b}" ma:internalName="TaxCatchAll" ma:showField="CatchAllData" ma:web="8796b9fa-d9fc-49ee-bfe3-e8e3f6c8e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96b9fa-d9fc-49ee-bfe3-e8e3f6c8e6b9" xsi:nil="true"/>
    <lcf76f155ced4ddcb4097134ff3c332f xmlns="7e83d2dc-68d1-4912-b76c-bebf2ac3755c">
      <Terms xmlns="http://schemas.microsoft.com/office/infopath/2007/PartnerControls"/>
    </lcf76f155ced4ddcb4097134ff3c332f>
    <k6de67457aa54369b46d9b743cebe52d xmlns="7e83d2dc-68d1-4912-b76c-bebf2ac3755c">
      <Terms xmlns="http://schemas.microsoft.com/office/infopath/2007/PartnerControls"/>
    </k6de67457aa54369b46d9b743cebe52d>
    <adbe64da05be4baa97c0a1b9d9fc7399 xmlns="7e83d2dc-68d1-4912-b76c-bebf2ac3755c">
      <Terms xmlns="http://schemas.microsoft.com/office/infopath/2007/PartnerControls"/>
    </adbe64da05be4baa97c0a1b9d9fc7399>
    <ke3c6b578e6e419e96c01ebc87dfb13c xmlns="7e83d2dc-68d1-4912-b76c-bebf2ac3755c">
      <Terms xmlns="http://schemas.microsoft.com/office/infopath/2007/PartnerControls"/>
    </ke3c6b578e6e419e96c01ebc87dfb13c>
    <ec89297846d242efab2fe5ea3581dbef xmlns="7e83d2dc-68d1-4912-b76c-bebf2ac3755c">
      <Terms xmlns="http://schemas.microsoft.com/office/infopath/2007/PartnerControls"/>
    </ec89297846d242efab2fe5ea3581dbef>
    <p6eb1c22fb0c4f898d8236608a18df96 xmlns="7e83d2dc-68d1-4912-b76c-bebf2ac3755c">
      <Terms xmlns="http://schemas.microsoft.com/office/infopath/2007/PartnerControls"/>
    </p6eb1c22fb0c4f898d8236608a18df96>
    <hb51427408e64abaa9a060a875d8049b xmlns="7e83d2dc-68d1-4912-b76c-bebf2ac3755c">
      <Terms xmlns="http://schemas.microsoft.com/office/infopath/2007/PartnerControls"/>
    </hb51427408e64abaa9a060a875d8049b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041FD-D74A-42D3-9528-2D94C3F22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83d2dc-68d1-4912-b76c-bebf2ac3755c"/>
    <ds:schemaRef ds:uri="8796b9fa-d9fc-49ee-bfe3-e8e3f6c8e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D54C68-920D-471B-A49A-DA93AF358AAE}">
  <ds:schemaRefs>
    <ds:schemaRef ds:uri="http://schemas.microsoft.com/office/infopath/2007/PartnerControls"/>
    <ds:schemaRef ds:uri="7e83d2dc-68d1-4912-b76c-bebf2ac3755c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8796b9fa-d9fc-49ee-bfe3-e8e3f6c8e6b9"/>
  </ds:schemaRefs>
</ds:datastoreItem>
</file>

<file path=customXml/itemProps3.xml><?xml version="1.0" encoding="utf-8"?>
<ds:datastoreItem xmlns:ds="http://schemas.openxmlformats.org/officeDocument/2006/customXml" ds:itemID="{328DB07D-AD6F-4DD4-A01E-18DEC52322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V1</vt:lpstr>
      <vt:lpstr>Product</vt:lpstr>
      <vt:lpstr>Justification</vt:lpstr>
      <vt:lpstr>Markups</vt:lpstr>
      <vt:lpstr>'V1'!Print_Area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Cohen</dc:creator>
  <cp:keywords/>
  <dc:description/>
  <cp:lastModifiedBy>Angel Paruas</cp:lastModifiedBy>
  <cp:revision/>
  <cp:lastPrinted>2020-10-23T21:15:29Z</cp:lastPrinted>
  <dcterms:created xsi:type="dcterms:W3CDTF">2015-06-05T18:17:20Z</dcterms:created>
  <dcterms:modified xsi:type="dcterms:W3CDTF">2023-11-13T03:49:25Z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0x010100F61D1271329524498AFDDD32DE588E03</vt:lpwstr>
  </property>
  <property fmtid="{D5CDD505-2E9C-101B-9397-08002B2CF9AE}" pid="3" name="Technology">
    <vt:lpwstr/>
  </property>
  <property fmtid="{D5CDD505-2E9C-101B-9397-08002B2CF9AE}" pid="4" name="Endpoint">
    <vt:lpwstr/>
  </property>
  <property fmtid="{D5CDD505-2E9C-101B-9397-08002B2CF9AE}" pid="5" name="MediaServiceImageTags">
    <vt:lpwstr/>
  </property>
  <property fmtid="{D5CDD505-2E9C-101B-9397-08002B2CF9AE}" pid="6" name="Product">
    <vt:lpwstr/>
  </property>
  <property fmtid="{D5CDD505-2E9C-101B-9397-08002B2CF9AE}" pid="7" name="Business Requirement">
    <vt:lpwstr/>
  </property>
  <property fmtid="{D5CDD505-2E9C-101B-9397-08002B2CF9AE}" pid="8" name="Operation">
    <vt:lpwstr/>
  </property>
  <property fmtid="{D5CDD505-2E9C-101B-9397-08002B2CF9AE}" pid="9" name="MSP Name">
    <vt:lpwstr/>
  </property>
  <property fmtid="{D5CDD505-2E9C-101B-9397-08002B2CF9AE}" pid="10" name="Business Requirement ">
    <vt:lpwstr/>
  </property>
</Properties>
</file>