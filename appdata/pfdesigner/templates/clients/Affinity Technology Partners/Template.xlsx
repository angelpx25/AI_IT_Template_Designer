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IT_Template_Designer\appdata\pfdesigner\templates\clients\Affinity Technology Partners\"/>
    </mc:Choice>
  </mc:AlternateContent>
  <xr:revisionPtr revIDLastSave="0" documentId="13_ncr:1_{157FDFA4-EC4B-42FC-9B0B-1EC863D5EAA3}" xr6:coauthVersionLast="47" xr6:coauthVersionMax="47" xr10:uidLastSave="{00000000-0000-0000-0000-000000000000}"/>
  <bookViews>
    <workbookView xWindow="-120" yWindow="-120" windowWidth="29040" windowHeight="15720" xr2:uid="{00000000-000D-0000-FFFF-FFFF00000000}"/>
  </bookViews>
  <sheets>
    <sheet name="V(1)" sheetId="7" r:id="rId1"/>
  </sheets>
  <definedNames>
    <definedName name="ProductDetails.aspx?id_US01__9500__10__YL9222" localSheetId="0">'V(1)'!#REF!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7" l="1"/>
  <c r="O18" i="7" s="1"/>
  <c r="O19" i="7" s="1"/>
  <c r="N13" i="7"/>
  <c r="O13" i="7" s="1"/>
  <c r="E77" i="7" l="1"/>
  <c r="I10" i="7" s="1"/>
  <c r="O10" i="7" s="1"/>
  <c r="O14" i="7" s="1"/>
</calcChain>
</file>

<file path=xl/sharedStrings.xml><?xml version="1.0" encoding="utf-8"?>
<sst xmlns="http://schemas.openxmlformats.org/spreadsheetml/2006/main" count="127" uniqueCount="108">
  <si>
    <t>Project Name:</t>
  </si>
  <si>
    <t>Business Requirements:</t>
  </si>
  <si>
    <t>Project Work Plan</t>
  </si>
  <si>
    <t>Products and Services</t>
  </si>
  <si>
    <t>Plan:</t>
  </si>
  <si>
    <t>Hours</t>
  </si>
  <si>
    <t>Quantity</t>
  </si>
  <si>
    <t>Products and Services (Non-Recurring Fees)</t>
  </si>
  <si>
    <t>MSRP</t>
  </si>
  <si>
    <t>Markup</t>
  </si>
  <si>
    <t>Cost</t>
  </si>
  <si>
    <t>PPU</t>
  </si>
  <si>
    <t>Extended Price</t>
  </si>
  <si>
    <t>Distributor PN</t>
  </si>
  <si>
    <t>Manufacturer PN</t>
  </si>
  <si>
    <t>Project Management Services:</t>
  </si>
  <si>
    <t>Professional Services:</t>
  </si>
  <si>
    <t>Record project plan in ConnectWise</t>
  </si>
  <si>
    <t>Affinity Professional Services</t>
  </si>
  <si>
    <t>Procurement</t>
  </si>
  <si>
    <t>Project documentation assignment to PEs</t>
  </si>
  <si>
    <t>Products:</t>
  </si>
  <si>
    <t>Knowledge transfer to PEs</t>
  </si>
  <si>
    <t>Product 1</t>
  </si>
  <si>
    <t>PARTNUMBER</t>
  </si>
  <si>
    <t>Project coordination with stakeholders</t>
  </si>
  <si>
    <t>Resource scheduling</t>
  </si>
  <si>
    <t>Determine end user communication plan with client</t>
  </si>
  <si>
    <t>Non Recurring Fees Total:</t>
  </si>
  <si>
    <t>Products and Services (Monthly Recurring Fees)</t>
  </si>
  <si>
    <t>Prepare:</t>
  </si>
  <si>
    <t>Recurring Products:</t>
  </si>
  <si>
    <t>Service 1</t>
  </si>
  <si>
    <t>Monthly Recurring Fees Total:</t>
  </si>
  <si>
    <t>Create Test Plan:</t>
  </si>
  <si>
    <t>Create a post cutover core business function test plan</t>
  </si>
  <si>
    <t>Implement:</t>
  </si>
  <si>
    <t>Operate:</t>
  </si>
  <si>
    <t>Optimize:</t>
  </si>
  <si>
    <t>Estimated Project Services:</t>
  </si>
  <si>
    <t>Proposal Notes</t>
  </si>
  <si>
    <t>Prepare for and conduct, project status meetings</t>
  </si>
  <si>
    <t>Proposal Name [Ticket]</t>
  </si>
  <si>
    <t>Enter Business Requirements</t>
  </si>
  <si>
    <t>&lt;Plan Time&gt;</t>
  </si>
  <si>
    <t>Confirm Established Business Requirements:</t>
  </si>
  <si>
    <t>Attend internal knowledge transfer meeting</t>
  </si>
  <si>
    <t>Review business requirements, proposed services, and solutions</t>
  </si>
  <si>
    <t>Review product selection</t>
  </si>
  <si>
    <t>Attend project status meetings</t>
  </si>
  <si>
    <t>Optimize Solution Configuration:</t>
  </si>
  <si>
    <r>
      <rPr>
        <sz val="12"/>
        <color rgb="FFFF0000"/>
        <rFont val="Arial"/>
        <family val="2"/>
      </rPr>
      <t>On-site and remote</t>
    </r>
    <r>
      <rPr>
        <sz val="12"/>
        <rFont val="Arial"/>
        <family val="2"/>
      </rPr>
      <t xml:space="preserve"> standby support</t>
    </r>
  </si>
  <si>
    <t>Resolve operational anomalies</t>
  </si>
  <si>
    <t>System Optimization:</t>
  </si>
  <si>
    <t>UPDATE: As of 12/8/22 they want us to remove the peer review for now.</t>
  </si>
  <si>
    <t>Solution Peer Review:</t>
  </si>
  <si>
    <t>Review completed work (Affinity standards)</t>
  </si>
  <si>
    <t>Anything above 25 hours this should be an hour.</t>
  </si>
  <si>
    <t>Report delta to PE</t>
  </si>
  <si>
    <t>Remediate outstanding nonstandard configurations</t>
  </si>
  <si>
    <t>Project Closure:</t>
  </si>
  <si>
    <t>Enter configuration documentation into IT Glue and ConnectWise</t>
  </si>
  <si>
    <t>Knowledge transfer meeting to Affinity technical support staff</t>
  </si>
  <si>
    <t>Client verification of solution</t>
  </si>
  <si>
    <t>Notify finance to begin billing of incremental recurring services</t>
  </si>
  <si>
    <t>Project closure</t>
  </si>
  <si>
    <t>Implement Affintity Network Standards Alignment:</t>
  </si>
  <si>
    <t>Implement Affinity standard VLANs:</t>
  </si>
  <si>
    <t>POS</t>
  </si>
  <si>
    <t>VOIP</t>
  </si>
  <si>
    <t>IOT</t>
  </si>
  <si>
    <t>Data</t>
  </si>
  <si>
    <t>Guest</t>
  </si>
  <si>
    <t>ADMIN</t>
  </si>
  <si>
    <t>Record a baseline metric for ISP speed</t>
  </si>
  <si>
    <t>Label all network equipment to Affinity Standards</t>
  </si>
  <si>
    <t>Implement Affinity Standard Patch cable color coding</t>
  </si>
  <si>
    <t>Several maintenance windows will be required for solution implementation. If maintenance windows cannot occur during business hours, solution can be implemented after hours. After hours services are not included in this proposal.</t>
  </si>
  <si>
    <t>Application software vendor assistance will be required to complete this project. Application software vendor professional services fees are not included in this proposal.</t>
  </si>
  <si>
    <t>If data deletion is requested or required, client will be asked to sign a letter of authorization for data deletion. Additional service charges may result if data cannot be deleted in a timely manner.</t>
  </si>
  <si>
    <t>Client is responsible for line of business application software licensing. If additional licensing is required, it will be proposed separately.</t>
  </si>
  <si>
    <t>Fidelity of UNC links and shortcuts to fileserver data will not be preserved in this project. Users may have to recreate shortcuts and links to files. Mapped drives will be preserved.</t>
  </si>
  <si>
    <t>Proposal contains licensing for Microsoft Windows Server 2019 Standard on (1) physical server containing up to (16) CPU cores and running up to (8) OSEs. If additional licensing is required it will be proposed separately.</t>
  </si>
  <si>
    <t>Proposal assumes existing domain is fully functional. If troubleshooting of pre-existing issues is required, additional services may be required to complete this project.</t>
  </si>
  <si>
    <t>This proposal does not address deficiencies in existing backup system. If backup system hardware or software enhancements are required, additional products and services will be required to complete this project.</t>
  </si>
  <si>
    <t xml:space="preserve">Proposal assumes backup dataset seeding and additional backup storage are not required. If physical seeding is required, additional products and services will be required to complete this project. </t>
  </si>
  <si>
    <t>Client must provide installation disks and licensing for applications that need to be installed on new servers. If installation media is not available or ready at the services of deployment, additional services will be required to complete this project.</t>
  </si>
  <si>
    <t>SSL certificates are not included in this proposal. If required they will be proposed separately.</t>
  </si>
  <si>
    <t>Power management upgrades have not been included in this proposal. If required, these products will be proposed separately.</t>
  </si>
  <si>
    <t>Additional AC power connections are not included in this proposal. If required, provisioning of additional AC outlets will be the client's responsibility.</t>
  </si>
  <si>
    <t>IP scheme design and changes have not been proposed. If required, these services will be proposed separately.</t>
  </si>
  <si>
    <t>Structured network cabling is not included in this proposal.</t>
  </si>
  <si>
    <t>Proposal assumes in place cabling is capable of gigabit data transfer rates.</t>
  </si>
  <si>
    <t>This proposal does not include extensive cable management or cabling cleanup in MDFs and IDFs. If required, additional products and services will be proposed separately.</t>
  </si>
  <si>
    <t>Disposal and recycling of electronic equipment is not included in this proposal. If required, these services will be proposed separately.</t>
  </si>
  <si>
    <t>Client assistance with end user communication plan, including direction of the timing of release of communications, will be required.</t>
  </si>
  <si>
    <t>Client stakeholders must be available to test proposed solutions upon completion of the implementation.</t>
  </si>
  <si>
    <t>Product availability and pricing cannot be guaranteed at this time. This is due to more frequent price increases, supply chain shortages, and longer lead times for product deliveries. Our team will make every effort to source products at prices proposed and maintain project schedules, and will notify you should any of these factors affect this project.</t>
  </si>
  <si>
    <t>This proposal does not include shipping and handling charges. These charges, if applicable, will be added to the client invoice.</t>
  </si>
  <si>
    <t>Proposal does not include applicable taxes. Tax will be added to the client invoices.</t>
  </si>
  <si>
    <t>This proposal includes a fixed fee for the products and services specified. If additional work is required due to a change in the scope of the client's business requirements, products and/or services, a change order will be submitted to the client for approval, prior to implementation of additional products and services.</t>
  </si>
  <si>
    <t>This proposal and workplan is protected by copyright under U.S. Copyright Laws and is the property of the original author. You may not copy, reproduce, distribute, publish, display, modify, create derivative works, or transmit this content to any other business, individual, or entity.</t>
  </si>
  <si>
    <t>Determine Affintity Network Standards Alignment Requirements:</t>
  </si>
  <si>
    <t>Determine if Affinity standard VLANs exist:</t>
  </si>
  <si>
    <t>Obtain ISP contract information</t>
  </si>
  <si>
    <t>Determine if a baseline metric for ISP speed exists</t>
  </si>
  <si>
    <t>Determine if all network equipment is labeled to Affinity Standards</t>
  </si>
  <si>
    <t>Determin if Patch cable color coding meets Affinity Standards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</si>
</sst>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3" x14ac:knownFonts="1">
    <font>
      <sz val="11"/>
      <color theme="1"/>
      <name val="Calibri"/>
      <family val="2"/>
      <scheme val="minor"/>
    </font>
    <font>
      <sz val="11"/>
      <color theme="1"/>
      <name val="Calibri"/>
      <family val="2"/>
      <scheme val="minor"/>
    </font>
    <font>
      <sz val="11"/>
      <color theme="0"/>
      <name val="Calibri"/>
      <family val="2"/>
      <scheme val="minor"/>
    </font>
    <font>
      <sz val="10"/>
      <name val="Arial"/>
      <family val="2"/>
    </font>
    <font>
      <sz val="12"/>
      <name val="Arial"/>
      <family val="2"/>
    </font>
    <font>
      <sz val="12"/>
      <color rgb="FFFF0000"/>
      <name val="Arial"/>
      <family val="2"/>
    </font>
    <font>
      <b/>
      <sz val="12"/>
      <color theme="0"/>
      <name val="Arial"/>
      <family val="2"/>
    </font>
    <font>
      <b/>
      <sz val="12"/>
      <name val="Arial"/>
      <family val="2"/>
    </font>
    <font>
      <sz val="12"/>
      <color theme="1"/>
      <name val="Arial"/>
      <family val="2"/>
    </font>
    <font>
      <b/>
      <sz val="12"/>
      <color rgb="FFFF0000"/>
      <name val="Arial"/>
      <family val="2"/>
    </font>
    <font>
      <u/>
      <sz val="12"/>
      <name val="Arial"/>
      <family val="2"/>
    </font>
    <font>
      <sz val="12"/>
      <color rgb="FF00B050"/>
      <name val="Arial"/>
      <family val="2"/>
    </font>
    <font>
      <u/>
      <sz val="12"/>
      <color rgb="FFFF0000"/>
      <name val="Arial"/>
      <family val="2"/>
    </font>
  </fonts>
  <fills count="7">
    <fill>
      <patternFill patternType="none"/>
    </fill>
    <fill>
      <patternFill patternType="gray125"/>
    </fill>
    <fill>
      <patternFill patternType="solid">
        <fgColor theme="5"/>
      </patternFill>
    </fill>
    <fill>
      <patternFill patternType="solid">
        <fgColor theme="5"/>
        <bgColor indexed="64"/>
      </patternFill>
    </fill>
    <fill>
      <patternFill patternType="solid">
        <fgColor rgb="FF2B449B"/>
        <bgColor indexed="64"/>
      </patternFill>
    </fill>
    <fill>
      <patternFill patternType="solid">
        <fgColor rgb="FF92D050"/>
        <bgColor indexed="64"/>
      </patternFill>
    </fill>
    <fill>
      <patternFill patternType="solid">
        <fgColor rgb="FFFFFF00"/>
        <bgColor indexed="64"/>
      </patternFill>
    </fill>
  </fills>
  <borders count="1">
    <border>
      <left/>
      <right/>
      <top/>
      <bottom/>
      <diagonal/>
    </border>
  </borders>
  <cellStyleXfs count="5">
    <xf numFmtId="0" fontId="0" fillId="0" borderId="0"/>
    <xf numFmtId="44" fontId="1" fillId="0" borderId="0" applyFont="0" applyFill="0" applyBorder="0" applyAlignment="0" applyProtection="0"/>
    <xf numFmtId="0" fontId="2" fillId="2" borderId="0" applyNumberFormat="0" applyBorder="0" applyAlignment="0" applyProtection="0"/>
    <xf numFmtId="0" fontId="3" fillId="0" borderId="0"/>
    <xf numFmtId="0" fontId="3" fillId="0" borderId="0"/>
  </cellStyleXfs>
  <cellXfs count="60">
    <xf numFmtId="0" fontId="0" fillId="0" borderId="0" xfId="0"/>
    <xf numFmtId="44" fontId="5" fillId="0" borderId="0" xfId="1" applyFont="1" applyBorder="1" applyAlignment="1">
      <alignment vertical="center"/>
    </xf>
    <xf numFmtId="0" fontId="4" fillId="0" borderId="0" xfId="0" applyFont="1" applyAlignment="1">
      <alignment vertical="center"/>
    </xf>
    <xf numFmtId="0" fontId="7" fillId="0" borderId="0" xfId="0" applyFont="1" applyAlignment="1">
      <alignment vertical="center"/>
    </xf>
    <xf numFmtId="2" fontId="4"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6" fillId="5" borderId="0" xfId="0" applyFont="1" applyFill="1" applyAlignment="1">
      <alignment vertical="center"/>
    </xf>
    <xf numFmtId="0" fontId="6" fillId="5" borderId="0" xfId="0" applyFont="1" applyFill="1" applyAlignment="1">
      <alignment horizontal="center" vertical="center"/>
    </xf>
    <xf numFmtId="2" fontId="5" fillId="0" borderId="0" xfId="0" applyNumberFormat="1" applyFont="1" applyAlignment="1">
      <alignment horizontal="center" vertical="center"/>
    </xf>
    <xf numFmtId="0" fontId="10" fillId="0" borderId="0" xfId="0" applyFont="1" applyAlignment="1">
      <alignment horizontal="left" vertical="center"/>
    </xf>
    <xf numFmtId="0" fontId="10" fillId="0" borderId="0" xfId="0" applyFont="1" applyAlignment="1">
      <alignment vertical="center"/>
    </xf>
    <xf numFmtId="0" fontId="5" fillId="0" borderId="0" xfId="0" applyFont="1" applyAlignment="1">
      <alignment vertical="center"/>
    </xf>
    <xf numFmtId="2" fontId="4" fillId="0" borderId="0" xfId="3" applyNumberFormat="1" applyFont="1" applyAlignment="1">
      <alignment horizontal="center" vertical="center"/>
    </xf>
    <xf numFmtId="2" fontId="6" fillId="5" borderId="0" xfId="0" applyNumberFormat="1" applyFont="1" applyFill="1" applyAlignment="1">
      <alignment horizontal="center" vertical="center"/>
    </xf>
    <xf numFmtId="2" fontId="7" fillId="0" borderId="0" xfId="0" applyNumberFormat="1" applyFont="1" applyAlignment="1">
      <alignment horizontal="center" vertical="center"/>
    </xf>
    <xf numFmtId="0" fontId="5" fillId="0" borderId="0" xfId="0" applyFont="1" applyAlignment="1">
      <alignment horizontal="center" vertical="center"/>
    </xf>
    <xf numFmtId="44" fontId="5" fillId="0" borderId="0" xfId="1" applyFont="1" applyAlignment="1">
      <alignment vertical="center"/>
    </xf>
    <xf numFmtId="44" fontId="4" fillId="0" borderId="0" xfId="1" applyFont="1" applyAlignment="1">
      <alignment vertical="center"/>
    </xf>
    <xf numFmtId="0" fontId="4" fillId="0" borderId="0" xfId="0" applyFont="1" applyAlignment="1">
      <alignment horizontal="center" vertical="center"/>
    </xf>
    <xf numFmtId="0" fontId="6" fillId="3" borderId="0" xfId="2" applyFont="1" applyFill="1" applyAlignment="1">
      <alignment horizontal="center" vertical="center"/>
    </xf>
    <xf numFmtId="0" fontId="6" fillId="4" borderId="0" xfId="2" applyFont="1" applyFill="1" applyAlignment="1">
      <alignment horizontal="left" vertical="center"/>
    </xf>
    <xf numFmtId="0" fontId="6" fillId="3" borderId="0" xfId="2" applyFont="1" applyFill="1" applyAlignment="1">
      <alignment horizontal="left" vertical="center"/>
    </xf>
    <xf numFmtId="0" fontId="6" fillId="3" borderId="0" xfId="2" applyFont="1" applyFill="1" applyAlignment="1">
      <alignment horizontal="right" vertical="center"/>
    </xf>
    <xf numFmtId="0" fontId="11" fillId="0" borderId="0" xfId="0" applyFont="1" applyAlignment="1">
      <alignment vertical="center"/>
    </xf>
    <xf numFmtId="164" fontId="7" fillId="0" borderId="0" xfId="0" applyNumberFormat="1" applyFont="1" applyAlignment="1">
      <alignment vertical="center"/>
    </xf>
    <xf numFmtId="14" fontId="4" fillId="0" borderId="0" xfId="0" applyNumberFormat="1" applyFont="1" applyAlignment="1">
      <alignment horizontal="right" vertical="center"/>
    </xf>
    <xf numFmtId="9" fontId="5" fillId="0" borderId="0" xfId="0" applyNumberFormat="1" applyFont="1" applyAlignment="1">
      <alignment horizontal="center" vertical="center"/>
    </xf>
    <xf numFmtId="2" fontId="5" fillId="0" borderId="0" xfId="3" applyNumberFormat="1" applyFont="1" applyAlignment="1">
      <alignment horizontal="center" vertical="center"/>
    </xf>
    <xf numFmtId="44" fontId="4" fillId="0" borderId="0" xfId="1" applyFont="1" applyAlignment="1">
      <alignment horizontal="center" vertical="center"/>
    </xf>
    <xf numFmtId="44" fontId="4" fillId="0" borderId="0" xfId="1" applyFont="1" applyBorder="1" applyAlignment="1">
      <alignment vertical="center"/>
    </xf>
    <xf numFmtId="44" fontId="5" fillId="0" borderId="0" xfId="0" applyNumberFormat="1" applyFont="1" applyAlignment="1">
      <alignment vertical="center"/>
    </xf>
    <xf numFmtId="0" fontId="5" fillId="0" borderId="0" xfId="3" applyFont="1" applyAlignment="1">
      <alignment vertical="center"/>
    </xf>
    <xf numFmtId="44" fontId="6" fillId="3" borderId="0" xfId="2" applyNumberFormat="1" applyFont="1" applyFill="1" applyAlignment="1">
      <alignment horizontal="center" vertical="center"/>
    </xf>
    <xf numFmtId="4" fontId="6" fillId="0" borderId="0" xfId="2" applyNumberFormat="1" applyFont="1" applyFill="1" applyBorder="1" applyAlignment="1">
      <alignment horizontal="center" vertical="center"/>
    </xf>
    <xf numFmtId="164" fontId="4" fillId="0" borderId="0" xfId="0" applyNumberFormat="1" applyFont="1" applyAlignment="1">
      <alignment horizontal="right" vertical="center"/>
    </xf>
    <xf numFmtId="0" fontId="9" fillId="0" borderId="0" xfId="0" applyFont="1" applyAlignment="1">
      <alignment vertical="center"/>
    </xf>
    <xf numFmtId="1" fontId="4" fillId="0" borderId="0" xfId="0" applyNumberFormat="1" applyFont="1" applyAlignment="1">
      <alignment horizontal="center" vertical="center"/>
    </xf>
    <xf numFmtId="0" fontId="5" fillId="0" borderId="0" xfId="4" applyFont="1" applyAlignment="1">
      <alignment vertical="center"/>
    </xf>
    <xf numFmtId="2" fontId="4" fillId="0" borderId="0" xfId="0" applyNumberFormat="1" applyFont="1" applyFill="1" applyAlignment="1">
      <alignment horizontal="center" vertical="center"/>
    </xf>
    <xf numFmtId="0" fontId="6" fillId="3" borderId="0" xfId="2" applyFont="1" applyFill="1" applyAlignment="1">
      <alignment vertical="center"/>
    </xf>
    <xf numFmtId="0" fontId="10" fillId="0" borderId="0" xfId="3" applyFont="1" applyAlignment="1">
      <alignment vertical="center"/>
    </xf>
    <xf numFmtId="0" fontId="4" fillId="0" borderId="0" xfId="2" applyFont="1" applyFill="1" applyAlignment="1">
      <alignment horizontal="left" vertical="center" wrapText="1"/>
    </xf>
    <xf numFmtId="0" fontId="4" fillId="0" borderId="0" xfId="2" applyFont="1" applyFill="1" applyAlignment="1">
      <alignment vertical="center" wrapText="1"/>
    </xf>
    <xf numFmtId="2" fontId="4" fillId="6" borderId="0" xfId="0" applyNumberFormat="1" applyFont="1" applyFill="1" applyAlignment="1">
      <alignment horizontal="center" vertical="center"/>
    </xf>
    <xf numFmtId="0" fontId="4" fillId="0" borderId="0" xfId="3" applyFont="1" applyAlignment="1">
      <alignment horizontal="left" vertical="center"/>
    </xf>
    <xf numFmtId="0" fontId="12" fillId="0" borderId="0" xfId="3" applyFont="1" applyAlignment="1">
      <alignment horizontal="left" vertical="center"/>
    </xf>
    <xf numFmtId="0" fontId="10" fillId="0" borderId="0" xfId="3" applyFont="1" applyAlignment="1">
      <alignment horizontal="left" vertical="center"/>
    </xf>
    <xf numFmtId="44" fontId="5" fillId="0" borderId="0" xfId="1" applyFont="1" applyFill="1" applyAlignment="1">
      <alignment vertical="center"/>
    </xf>
    <xf numFmtId="0" fontId="5" fillId="0" borderId="0" xfId="3" applyFont="1" applyAlignment="1">
      <alignment horizontal="left" vertical="center"/>
    </xf>
    <xf numFmtId="0" fontId="4" fillId="0" borderId="0" xfId="3" applyFont="1" applyAlignment="1">
      <alignment vertical="center"/>
    </xf>
    <xf numFmtId="0" fontId="4" fillId="0" borderId="0" xfId="0" applyFont="1" applyAlignment="1">
      <alignment horizontal="left" vertical="center" wrapText="1"/>
    </xf>
    <xf numFmtId="0" fontId="6" fillId="3" borderId="0" xfId="2" applyFont="1" applyFill="1" applyAlignment="1">
      <alignment horizontal="center" vertical="center"/>
    </xf>
    <xf numFmtId="0" fontId="12" fillId="0" borderId="0" xfId="0" applyFont="1" applyAlignment="1">
      <alignment vertical="center"/>
    </xf>
    <xf numFmtId="0" fontId="5" fillId="0" borderId="0" xfId="2" applyFont="1" applyFill="1" applyAlignment="1">
      <alignment horizontal="left" vertical="center"/>
    </xf>
    <xf numFmtId="0" fontId="9" fillId="0" borderId="0" xfId="0" applyFont="1" applyAlignment="1">
      <alignment horizontal="center" vertical="center"/>
    </xf>
    <xf numFmtId="0" fontId="5" fillId="0" borderId="0" xfId="2" applyFont="1" applyFill="1" applyAlignment="1">
      <alignment horizontal="left" vertical="center" indent="1"/>
    </xf>
    <xf numFmtId="0" fontId="4" fillId="0" borderId="0" xfId="0" applyFont="1" applyAlignment="1">
      <alignment vertical="center"/>
    </xf>
    <xf numFmtId="0" fontId="5" fillId="0" borderId="0" xfId="0" applyFont="1" applyAlignment="1">
      <alignment vertical="center"/>
    </xf>
    <xf numFmtId="2" fontId="5" fillId="0" borderId="0" xfId="0" applyNumberFormat="1" applyFont="1" applyAlignment="1">
      <alignment horizontal="left"/>
    </xf>
  </cellXfs>
  <cellStyles count="5">
    <cellStyle name="Accent2" xfId="2" builtinId="33"/>
    <cellStyle name="Currency" xfId="1" builtinId="4"/>
    <cellStyle name="Normal" xfId="0" builtinId="0"/>
    <cellStyle name="Normal 2" xfId="3" xr:uid="{CAEF2EF6-12A0-4F5E-A64B-3401E8B0C41A}"/>
    <cellStyle name="Normal 2 2 2" xfId="4" xr:uid="{50577B78-20CE-42B0-BCB4-767D70BC2ABB}"/>
  </cellStyles>
  <dxfs count="0"/>
  <tableStyles count="0" defaultTableStyle="TableStyleMedium2" defaultPivotStyle="PivotStyleLight16"/>
  <colors>
    <mruColors>
      <color rgb="FF2B449B"/>
      <color rgb="FF9C2B0C"/>
      <color rgb="FF7C1E04"/>
      <color rgb="FFB9A5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271807</xdr:colOff>
      <xdr:row>1</xdr:row>
      <xdr:rowOff>22412</xdr:rowOff>
    </xdr:from>
    <xdr:to>
      <xdr:col>9</xdr:col>
      <xdr:colOff>1876593</xdr:colOff>
      <xdr:row>10</xdr:row>
      <xdr:rowOff>145677</xdr:rowOff>
    </xdr:to>
    <xdr:sp macro="" textlink="">
      <xdr:nvSpPr>
        <xdr:cNvPr id="2" name="TextBox 1">
          <a:extLst>
            <a:ext uri="{FF2B5EF4-FFF2-40B4-BE49-F238E27FC236}">
              <a16:creationId xmlns:a16="http://schemas.microsoft.com/office/drawing/2014/main" id="{BCF2D95E-FA32-A211-DCCA-38F3DFEC969E}"/>
            </a:ext>
          </a:extLst>
        </xdr:cNvPr>
        <xdr:cNvSpPr txBox="1"/>
      </xdr:nvSpPr>
      <xdr:spPr>
        <a:xfrm>
          <a:off x="8922748" y="224118"/>
          <a:ext cx="4159727" cy="190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for AZURE AVD HOSTING</a:t>
          </a:r>
          <a:r>
            <a:rPr lang="en-US" sz="1100" baseline="0"/>
            <a:t> ONLY- USE NERDIO</a:t>
          </a:r>
          <a:endParaRPr lang="en-US" sz="1100"/>
        </a:p>
        <a:p>
          <a:r>
            <a:rPr lang="en-US" sz="1100"/>
            <a:t> For Azure hosting projects use the Nerdio project calculator.</a:t>
          </a:r>
        </a:p>
        <a:p>
          <a:r>
            <a:rPr lang="en-US" sz="1100"/>
            <a:t>Bundle in Office 365 licensing</a:t>
          </a:r>
          <a:r>
            <a:rPr lang="en-US" sz="1100" baseline="0"/>
            <a:t> into the calculator where its needed. https://nmmce.getnerdio.com/</a:t>
          </a:r>
          <a:endParaRPr lang="en-US" sz="1100"/>
        </a:p>
        <a:p>
          <a:endParaRPr lang="en-US" sz="1100"/>
        </a:p>
        <a:p>
          <a:r>
            <a:rPr lang="en-US" sz="1100"/>
            <a:t>Add Nerdio overhead (difference between azure ) as a AVD management</a:t>
          </a:r>
          <a:r>
            <a:rPr lang="en-US" sz="1100" baseline="0"/>
            <a:t> service see this proposal [2280] V3</a:t>
          </a:r>
        </a:p>
        <a:p>
          <a:endParaRPr lang="en-US" sz="1100" baseline="0"/>
        </a:p>
        <a:p>
          <a:r>
            <a:rPr lang="en-US" sz="1100"/>
            <a:t>Do not propose Forensit product as they are using the free version for here on out. </a:t>
          </a:r>
        </a:p>
      </xdr:txBody>
    </xdr:sp>
    <xdr:clientData/>
  </xdr:twoCellAnchor>
  <xdr:oneCellAnchor>
    <xdr:from>
      <xdr:col>9</xdr:col>
      <xdr:colOff>2140325</xdr:colOff>
      <xdr:row>1</xdr:row>
      <xdr:rowOff>78441</xdr:rowOff>
    </xdr:from>
    <xdr:ext cx="5153269" cy="2100386"/>
    <xdr:sp macro="" textlink="">
      <xdr:nvSpPr>
        <xdr:cNvPr id="4" name="TextBox 3">
          <a:extLst>
            <a:ext uri="{FF2B5EF4-FFF2-40B4-BE49-F238E27FC236}">
              <a16:creationId xmlns:a16="http://schemas.microsoft.com/office/drawing/2014/main" id="{0DEB79C9-71B9-4931-817E-326D9985A0A8}"/>
            </a:ext>
          </a:extLst>
        </xdr:cNvPr>
        <xdr:cNvSpPr txBox="1"/>
      </xdr:nvSpPr>
      <xdr:spPr>
        <a:xfrm>
          <a:off x="13346207" y="280147"/>
          <a:ext cx="5153269" cy="2100386"/>
        </a:xfrm>
        <a:prstGeom prst="rect">
          <a:avLst/>
        </a:prstGeom>
        <a:solidFill>
          <a:schemeClr val="accent4">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u="sng"/>
            <a:t>MSP Proposal</a:t>
          </a:r>
          <a:r>
            <a:rPr lang="en-US" sz="1200" b="1" u="sng" baseline="0"/>
            <a:t> Notes:</a:t>
          </a:r>
        </a:p>
        <a:p>
          <a:pPr algn="ctr"/>
          <a:endParaRPr lang="en-US" sz="1200" b="1" u="sng" baseline="0"/>
        </a:p>
        <a:p>
          <a:pPr marL="171450" indent="-171450" algn="l">
            <a:buFont typeface="Arial" panose="020B0604020202020204" pitchFamily="34" charset="0"/>
            <a:buChar char="•"/>
          </a:pPr>
          <a:r>
            <a:rPr lang="en-US" sz="1200" b="0" u="none" baseline="0"/>
            <a:t>Note1</a:t>
          </a:r>
          <a:endParaRPr lang="en-US" sz="1200" b="0" u="none"/>
        </a:p>
      </xdr:txBody>
    </xdr:sp>
    <xdr:clientData/>
  </xdr:oneCellAnchor>
</xdr:wsDr>
</file>

<file path=xl/theme/theme1.xml><?xml version="1.0" encoding="utf-8"?>
<a:theme xmlns:a="http://schemas.openxmlformats.org/drawingml/2006/main" name="Office Theme">
  <a:themeElements>
    <a:clrScheme name="SisAdmin Elephant">
      <a:dk1>
        <a:sysClr val="windowText" lastClr="000000"/>
      </a:dk1>
      <a:lt1>
        <a:sysClr val="window" lastClr="FFFFFF"/>
      </a:lt1>
      <a:dk2>
        <a:srgbClr val="000000"/>
      </a:dk2>
      <a:lt2>
        <a:srgbClr val="FFFFFF"/>
      </a:lt2>
      <a:accent1>
        <a:srgbClr val="26357C"/>
      </a:accent1>
      <a:accent2>
        <a:srgbClr val="2B449B"/>
      </a:accent2>
      <a:accent3>
        <a:srgbClr val="639ED6"/>
      </a:accent3>
      <a:accent4>
        <a:srgbClr val="F9C269"/>
      </a:accent4>
      <a:accent5>
        <a:srgbClr val="FFFFFF"/>
      </a:accent5>
      <a:accent6>
        <a:srgbClr val="FFFFFF"/>
      </a:accent6>
      <a:hlink>
        <a:srgbClr val="FFFFFF"/>
      </a:hlink>
      <a:folHlink>
        <a:srgbClr val="FFFFF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40EF1-A896-4558-B877-9D8C2B7B0206}">
  <sheetPr>
    <pageSetUpPr fitToPage="1"/>
  </sheetPr>
  <dimension ref="A1:R131"/>
  <sheetViews>
    <sheetView tabSelected="1" topLeftCell="A20" zoomScale="85" zoomScaleNormal="85" zoomScaleSheetLayoutView="100" workbookViewId="0">
      <selection activeCell="A38" sqref="A38:XFD38"/>
    </sheetView>
  </sheetViews>
  <sheetFormatPr defaultColWidth="9.140625" defaultRowHeight="15.75" x14ac:dyDescent="0.25"/>
  <cols>
    <col min="1" max="1" width="86.140625" style="2" customWidth="1"/>
    <col min="2" max="3" width="10.42578125" style="3" customWidth="1"/>
    <col min="4" max="4" width="10" style="5" customWidth="1"/>
    <col min="5" max="5" width="19.140625" style="6" customWidth="1"/>
    <col min="6" max="6" width="9.140625" style="5" customWidth="1"/>
    <col min="7" max="8" width="9.140625" style="18" customWidth="1"/>
    <col min="9" max="9" width="11.140625" style="5" customWidth="1"/>
    <col min="10" max="10" width="59.140625" style="5" bestFit="1" customWidth="1"/>
    <col min="11" max="11" width="11.5703125" style="5" bestFit="1" customWidth="1"/>
    <col min="12" max="12" width="9" style="5" bestFit="1" customWidth="1"/>
    <col min="13" max="14" width="11.5703125" style="5" bestFit="1" customWidth="1"/>
    <col min="15" max="15" width="17" style="5" customWidth="1"/>
    <col min="16" max="16" width="15.42578125" style="5" bestFit="1" customWidth="1"/>
    <col min="17" max="17" width="18.42578125" style="5" bestFit="1" customWidth="1"/>
    <col min="18" max="16384" width="9.140625" style="5"/>
  </cols>
  <sheetData>
    <row r="1" spans="1:17" x14ac:dyDescent="0.25">
      <c r="A1" s="21" t="s">
        <v>0</v>
      </c>
      <c r="B1" s="22"/>
      <c r="C1" s="22"/>
      <c r="D1" s="20"/>
      <c r="E1" s="23"/>
      <c r="F1" s="24"/>
    </row>
    <row r="2" spans="1:17" ht="15" x14ac:dyDescent="0.25">
      <c r="A2" s="51" t="s">
        <v>42</v>
      </c>
      <c r="B2" s="51"/>
      <c r="C2" s="51"/>
      <c r="D2" s="51"/>
      <c r="E2" s="51"/>
      <c r="F2" s="24"/>
    </row>
    <row r="3" spans="1:17" x14ac:dyDescent="0.25">
      <c r="D3" s="25"/>
      <c r="E3" s="26"/>
      <c r="F3" s="24"/>
    </row>
    <row r="4" spans="1:17" x14ac:dyDescent="0.25">
      <c r="A4" s="22" t="s">
        <v>1</v>
      </c>
      <c r="B4" s="22"/>
      <c r="C4" s="22"/>
      <c r="D4" s="22"/>
      <c r="E4" s="22"/>
      <c r="F4" s="24"/>
      <c r="J4" s="12"/>
    </row>
    <row r="5" spans="1:17" ht="15" x14ac:dyDescent="0.25">
      <c r="A5" s="51" t="s">
        <v>43</v>
      </c>
      <c r="B5" s="51"/>
      <c r="C5" s="51"/>
      <c r="D5" s="51"/>
      <c r="E5" s="51"/>
      <c r="F5" s="24"/>
      <c r="G5" s="2"/>
      <c r="H5" s="2"/>
    </row>
    <row r="6" spans="1:17" x14ac:dyDescent="0.25">
      <c r="F6" s="24"/>
    </row>
    <row r="7" spans="1:17" x14ac:dyDescent="0.25">
      <c r="A7" s="52" t="s">
        <v>2</v>
      </c>
      <c r="B7" s="52"/>
      <c r="C7" s="52"/>
      <c r="D7" s="52"/>
      <c r="E7" s="52"/>
      <c r="G7" s="2"/>
      <c r="H7" s="2"/>
      <c r="I7" s="22"/>
      <c r="J7" s="20" t="s">
        <v>3</v>
      </c>
      <c r="K7" s="20"/>
      <c r="L7" s="20"/>
      <c r="M7" s="20"/>
      <c r="N7" s="20"/>
      <c r="O7" s="20"/>
      <c r="P7" s="20"/>
      <c r="Q7" s="20"/>
    </row>
    <row r="8" spans="1:17" s="2" customFormat="1" x14ac:dyDescent="0.25">
      <c r="A8" s="7" t="s">
        <v>4</v>
      </c>
      <c r="B8" s="7"/>
      <c r="C8" s="7"/>
      <c r="D8" s="7"/>
      <c r="E8" s="8" t="s">
        <v>5</v>
      </c>
      <c r="I8" s="8" t="s">
        <v>6</v>
      </c>
      <c r="J8" s="8" t="s">
        <v>7</v>
      </c>
      <c r="K8" s="8" t="s">
        <v>8</v>
      </c>
      <c r="L8" s="8" t="s">
        <v>9</v>
      </c>
      <c r="M8" s="8" t="s">
        <v>10</v>
      </c>
      <c r="N8" s="8" t="s">
        <v>11</v>
      </c>
      <c r="O8" s="8" t="s">
        <v>12</v>
      </c>
      <c r="P8" s="8" t="s">
        <v>13</v>
      </c>
      <c r="Q8" s="8" t="s">
        <v>14</v>
      </c>
    </row>
    <row r="9" spans="1:17" s="2" customFormat="1" x14ac:dyDescent="0.25">
      <c r="A9" s="10" t="s">
        <v>15</v>
      </c>
      <c r="E9" s="39" t="s">
        <v>44</v>
      </c>
      <c r="I9" s="3" t="s">
        <v>16</v>
      </c>
      <c r="L9" s="27"/>
    </row>
    <row r="10" spans="1:17" s="2" customFormat="1" ht="15" x14ac:dyDescent="0.25">
      <c r="A10" s="2" t="s">
        <v>17</v>
      </c>
      <c r="E10" s="4"/>
      <c r="F10" s="13"/>
      <c r="I10" s="4">
        <f>E77</f>
        <v>10.75</v>
      </c>
      <c r="J10" s="2" t="s">
        <v>18</v>
      </c>
      <c r="K10" s="29"/>
      <c r="L10" s="27"/>
      <c r="M10" s="29"/>
      <c r="N10" s="30">
        <v>165</v>
      </c>
      <c r="O10" s="30">
        <f>I10*N10</f>
        <v>1773.75</v>
      </c>
      <c r="P10" s="6"/>
      <c r="Q10" s="6"/>
    </row>
    <row r="11" spans="1:17" s="2" customFormat="1" ht="15" x14ac:dyDescent="0.25">
      <c r="A11" s="2" t="s">
        <v>19</v>
      </c>
      <c r="E11" s="4"/>
      <c r="F11" s="13"/>
      <c r="L11" s="27"/>
    </row>
    <row r="12" spans="1:17" s="2" customFormat="1" ht="15.75" customHeight="1" x14ac:dyDescent="0.25">
      <c r="A12" s="2" t="s">
        <v>20</v>
      </c>
      <c r="E12" s="4"/>
      <c r="F12" s="13"/>
      <c r="I12" s="3" t="s">
        <v>21</v>
      </c>
      <c r="L12" s="27"/>
    </row>
    <row r="13" spans="1:17" s="2" customFormat="1" ht="15.75" customHeight="1" x14ac:dyDescent="0.25">
      <c r="A13" s="2" t="s">
        <v>22</v>
      </c>
      <c r="E13" s="4"/>
      <c r="F13" s="13"/>
      <c r="I13" s="37">
        <v>1</v>
      </c>
      <c r="J13" s="12" t="s">
        <v>23</v>
      </c>
      <c r="K13" s="12"/>
      <c r="L13" s="27">
        <v>0.22</v>
      </c>
      <c r="M13" s="17">
        <v>5</v>
      </c>
      <c r="N13" s="31">
        <f>M13+(M13*L13)</f>
        <v>6.1</v>
      </c>
      <c r="O13" s="1">
        <f>I13*N13</f>
        <v>6.1</v>
      </c>
      <c r="P13" s="6"/>
      <c r="Q13" s="16" t="s">
        <v>24</v>
      </c>
    </row>
    <row r="14" spans="1:17" s="2" customFormat="1" x14ac:dyDescent="0.25">
      <c r="A14" s="2" t="s">
        <v>25</v>
      </c>
      <c r="E14" s="4"/>
      <c r="F14" s="13"/>
      <c r="I14" s="20"/>
      <c r="J14" s="20" t="s">
        <v>28</v>
      </c>
      <c r="K14" s="20"/>
      <c r="L14" s="20"/>
      <c r="M14" s="20"/>
      <c r="N14" s="20"/>
      <c r="O14" s="33">
        <f>SUM(O9:O13)</f>
        <v>1779.85</v>
      </c>
      <c r="P14" s="20"/>
      <c r="Q14" s="20"/>
    </row>
    <row r="15" spans="1:17" s="2" customFormat="1" x14ac:dyDescent="0.25">
      <c r="A15" s="2" t="s">
        <v>26</v>
      </c>
      <c r="E15" s="4"/>
      <c r="F15" s="13"/>
      <c r="G15" s="19"/>
      <c r="H15" s="19"/>
      <c r="I15" s="4"/>
      <c r="K15" s="4"/>
      <c r="L15" s="4"/>
      <c r="M15" s="4"/>
      <c r="N15" s="34"/>
      <c r="O15" s="35"/>
      <c r="P15" s="5"/>
      <c r="Q15" s="5"/>
    </row>
    <row r="16" spans="1:17" s="2" customFormat="1" x14ac:dyDescent="0.25">
      <c r="A16" s="2" t="s">
        <v>27</v>
      </c>
      <c r="E16" s="4"/>
      <c r="F16" s="13"/>
      <c r="G16" s="19"/>
      <c r="H16" s="19"/>
      <c r="I16" s="8" t="s">
        <v>6</v>
      </c>
      <c r="J16" s="8" t="s">
        <v>29</v>
      </c>
      <c r="K16" s="8" t="s">
        <v>8</v>
      </c>
      <c r="L16" s="8" t="s">
        <v>9</v>
      </c>
      <c r="M16" s="8" t="s">
        <v>10</v>
      </c>
      <c r="N16" s="8" t="s">
        <v>11</v>
      </c>
      <c r="O16" s="8" t="s">
        <v>12</v>
      </c>
      <c r="P16" s="8" t="s">
        <v>13</v>
      </c>
      <c r="Q16" s="8" t="s">
        <v>14</v>
      </c>
    </row>
    <row r="17" spans="1:17" s="2" customFormat="1" x14ac:dyDescent="0.25">
      <c r="A17" s="2" t="s">
        <v>41</v>
      </c>
      <c r="B17" s="12"/>
      <c r="C17" s="12"/>
      <c r="D17" s="12"/>
      <c r="E17" s="9"/>
      <c r="F17" s="28"/>
      <c r="G17" s="19"/>
      <c r="H17" s="19"/>
      <c r="I17" s="3" t="s">
        <v>31</v>
      </c>
    </row>
    <row r="18" spans="1:17" s="2" customFormat="1" ht="15" x14ac:dyDescent="0.25">
      <c r="A18" s="32"/>
      <c r="B18" s="9"/>
      <c r="C18" s="9"/>
      <c r="D18" s="12"/>
      <c r="E18" s="12"/>
      <c r="F18" s="16"/>
      <c r="G18" s="19"/>
      <c r="H18" s="19"/>
      <c r="I18" s="37">
        <v>1</v>
      </c>
      <c r="J18" s="12" t="s">
        <v>32</v>
      </c>
      <c r="K18" s="12"/>
      <c r="L18" s="27">
        <v>0.22</v>
      </c>
      <c r="M18" s="17">
        <v>5</v>
      </c>
      <c r="N18" s="31">
        <f>M18+(M18*L18)</f>
        <v>6.1</v>
      </c>
      <c r="O18" s="1">
        <f>I18*N18</f>
        <v>6.1</v>
      </c>
      <c r="P18" s="6"/>
      <c r="Q18" s="16" t="s">
        <v>24</v>
      </c>
    </row>
    <row r="19" spans="1:17" s="2" customFormat="1" x14ac:dyDescent="0.25">
      <c r="A19" s="7" t="s">
        <v>30</v>
      </c>
      <c r="B19" s="7"/>
      <c r="C19" s="7"/>
      <c r="D19" s="7"/>
      <c r="E19" s="8" t="s">
        <v>5</v>
      </c>
      <c r="I19" s="20"/>
      <c r="J19" s="20" t="s">
        <v>33</v>
      </c>
      <c r="K19" s="20"/>
      <c r="L19" s="20"/>
      <c r="M19" s="20"/>
      <c r="N19" s="20"/>
      <c r="O19" s="33">
        <f>SUM(O17:O18)</f>
        <v>6.1</v>
      </c>
      <c r="P19" s="20"/>
      <c r="Q19" s="20"/>
    </row>
    <row r="20" spans="1:17" s="2" customFormat="1" ht="15" x14ac:dyDescent="0.25">
      <c r="A20" s="41" t="s">
        <v>45</v>
      </c>
      <c r="D20" s="13"/>
      <c r="E20" s="13">
        <v>2.75</v>
      </c>
      <c r="F20" s="13"/>
    </row>
    <row r="21" spans="1:17" s="2" customFormat="1" ht="15" x14ac:dyDescent="0.25">
      <c r="A21" s="42" t="s">
        <v>46</v>
      </c>
      <c r="F21" s="28">
        <v>1</v>
      </c>
      <c r="G21" s="13"/>
      <c r="H21" s="13"/>
    </row>
    <row r="22" spans="1:17" s="12" customFormat="1" ht="15.75" customHeight="1" x14ac:dyDescent="0.25">
      <c r="A22" s="42" t="s">
        <v>47</v>
      </c>
      <c r="B22" s="2"/>
      <c r="C22" s="2"/>
      <c r="D22" s="13"/>
      <c r="F22" s="28"/>
    </row>
    <row r="23" spans="1:17" s="12" customFormat="1" ht="15" x14ac:dyDescent="0.25">
      <c r="A23" s="43" t="s">
        <v>48</v>
      </c>
      <c r="D23" s="28"/>
      <c r="F23" s="28">
        <v>0.75</v>
      </c>
    </row>
    <row r="24" spans="1:17" s="12" customFormat="1" ht="15.75" customHeight="1" x14ac:dyDescent="0.25">
      <c r="A24" s="42" t="s">
        <v>49</v>
      </c>
      <c r="D24" s="28"/>
      <c r="F24" s="13">
        <v>1</v>
      </c>
    </row>
    <row r="25" spans="1:17" s="12" customFormat="1" ht="15.75" customHeight="1" x14ac:dyDescent="0.25">
      <c r="A25" s="42"/>
      <c r="D25" s="28"/>
      <c r="F25" s="13"/>
    </row>
    <row r="26" spans="1:17" s="2" customFormat="1" x14ac:dyDescent="0.25">
      <c r="A26" s="53" t="s">
        <v>102</v>
      </c>
      <c r="B26" s="36"/>
      <c r="C26" s="12"/>
      <c r="D26" s="9">
        <v>0.5</v>
      </c>
      <c r="E26" s="9"/>
      <c r="F26" s="4"/>
      <c r="G26" s="4"/>
    </row>
    <row r="27" spans="1:17" s="2" customFormat="1" x14ac:dyDescent="0.25">
      <c r="A27" s="54" t="s">
        <v>103</v>
      </c>
      <c r="B27" s="36"/>
      <c r="C27" s="12"/>
      <c r="D27" s="9"/>
      <c r="E27" s="9"/>
      <c r="F27" s="4"/>
      <c r="G27" s="4"/>
    </row>
    <row r="28" spans="1:17" s="2" customFormat="1" x14ac:dyDescent="0.25">
      <c r="A28" s="56" t="s">
        <v>68</v>
      </c>
      <c r="B28" s="36"/>
      <c r="C28" s="12"/>
      <c r="D28" s="9"/>
      <c r="E28" s="9"/>
      <c r="F28" s="4"/>
      <c r="G28" s="4"/>
    </row>
    <row r="29" spans="1:17" s="2" customFormat="1" x14ac:dyDescent="0.25">
      <c r="A29" s="56" t="s">
        <v>69</v>
      </c>
      <c r="B29" s="36"/>
      <c r="C29" s="12"/>
      <c r="D29" s="9"/>
      <c r="E29" s="9"/>
      <c r="F29" s="4"/>
      <c r="G29" s="4"/>
    </row>
    <row r="30" spans="1:17" s="2" customFormat="1" x14ac:dyDescent="0.25">
      <c r="A30" s="56" t="s">
        <v>70</v>
      </c>
      <c r="B30" s="36"/>
      <c r="C30" s="12"/>
      <c r="D30" s="9"/>
      <c r="E30" s="9"/>
      <c r="F30" s="4"/>
      <c r="G30" s="4"/>
    </row>
    <row r="31" spans="1:17" s="2" customFormat="1" x14ac:dyDescent="0.25">
      <c r="A31" s="56" t="s">
        <v>71</v>
      </c>
      <c r="B31" s="36"/>
      <c r="C31" s="12"/>
      <c r="D31" s="9"/>
      <c r="E31" s="9"/>
      <c r="F31" s="4"/>
      <c r="G31" s="4"/>
    </row>
    <row r="32" spans="1:17" s="2" customFormat="1" x14ac:dyDescent="0.25">
      <c r="A32" s="56" t="s">
        <v>72</v>
      </c>
      <c r="B32" s="36"/>
      <c r="C32" s="12"/>
      <c r="D32" s="9"/>
      <c r="E32" s="9"/>
      <c r="F32" s="4"/>
      <c r="G32" s="4"/>
    </row>
    <row r="33" spans="1:16" s="2" customFormat="1" x14ac:dyDescent="0.25">
      <c r="A33" s="56" t="s">
        <v>73</v>
      </c>
      <c r="B33" s="36"/>
      <c r="C33" s="12"/>
      <c r="D33" s="9"/>
      <c r="E33" s="9"/>
      <c r="F33" s="4"/>
      <c r="G33" s="4"/>
    </row>
    <row r="34" spans="1:16" s="2" customFormat="1" x14ac:dyDescent="0.25">
      <c r="A34" s="54" t="s">
        <v>104</v>
      </c>
      <c r="B34" s="36"/>
      <c r="C34" s="12"/>
      <c r="D34" s="9"/>
      <c r="E34" s="9"/>
      <c r="F34" s="4"/>
      <c r="G34" s="4"/>
    </row>
    <row r="35" spans="1:16" s="2" customFormat="1" x14ac:dyDescent="0.25">
      <c r="A35" s="54" t="s">
        <v>105</v>
      </c>
      <c r="B35" s="36"/>
      <c r="C35" s="12"/>
      <c r="D35" s="9"/>
      <c r="E35" s="9"/>
      <c r="F35" s="4"/>
      <c r="G35" s="4"/>
    </row>
    <row r="36" spans="1:16" s="2" customFormat="1" x14ac:dyDescent="0.25">
      <c r="A36" s="54" t="s">
        <v>106</v>
      </c>
      <c r="B36" s="36"/>
      <c r="C36" s="12"/>
      <c r="D36" s="9"/>
      <c r="E36" s="9"/>
      <c r="F36" s="4"/>
      <c r="G36" s="4"/>
    </row>
    <row r="37" spans="1:16" s="2" customFormat="1" x14ac:dyDescent="0.2">
      <c r="A37" s="59" t="s">
        <v>107</v>
      </c>
      <c r="B37" s="36"/>
      <c r="C37" s="12"/>
      <c r="D37" s="9"/>
      <c r="E37" s="9"/>
      <c r="F37" s="4"/>
      <c r="G37" s="4"/>
    </row>
    <row r="38" spans="1:16" s="2" customFormat="1" x14ac:dyDescent="0.2">
      <c r="A38" s="59"/>
      <c r="B38" s="36"/>
      <c r="C38" s="12"/>
      <c r="D38" s="9"/>
      <c r="E38" s="9"/>
      <c r="F38" s="4"/>
      <c r="G38" s="4"/>
    </row>
    <row r="39" spans="1:16" s="12" customFormat="1" x14ac:dyDescent="0.25">
      <c r="A39" s="11" t="s">
        <v>34</v>
      </c>
      <c r="B39" s="3"/>
      <c r="C39" s="3"/>
      <c r="D39" s="2"/>
      <c r="F39" s="4">
        <v>0.25</v>
      </c>
    </row>
    <row r="40" spans="1:16" x14ac:dyDescent="0.25">
      <c r="A40" s="2" t="s">
        <v>35</v>
      </c>
      <c r="D40" s="2"/>
      <c r="E40" s="4"/>
    </row>
    <row r="41" spans="1:16" ht="15" x14ac:dyDescent="0.25">
      <c r="B41" s="2"/>
      <c r="C41" s="2"/>
      <c r="D41" s="2"/>
      <c r="E41" s="4"/>
    </row>
    <row r="42" spans="1:16" x14ac:dyDescent="0.25">
      <c r="A42" s="7" t="s">
        <v>36</v>
      </c>
      <c r="B42" s="7"/>
      <c r="C42" s="7"/>
      <c r="D42" s="7"/>
      <c r="E42" s="8" t="s">
        <v>5</v>
      </c>
    </row>
    <row r="43" spans="1:16" ht="15" x14ac:dyDescent="0.25">
      <c r="B43" s="2"/>
      <c r="C43" s="2"/>
      <c r="D43" s="2"/>
      <c r="E43" s="4"/>
    </row>
    <row r="44" spans="1:16" x14ac:dyDescent="0.25">
      <c r="A44" s="7" t="s">
        <v>37</v>
      </c>
      <c r="B44" s="7"/>
      <c r="C44" s="7"/>
      <c r="D44" s="7"/>
      <c r="E44" s="8" t="s">
        <v>5</v>
      </c>
    </row>
    <row r="45" spans="1:16" s="2" customFormat="1" x14ac:dyDescent="0.25">
      <c r="A45" s="53" t="s">
        <v>66</v>
      </c>
      <c r="B45" s="36"/>
      <c r="C45" s="36"/>
      <c r="D45" s="12"/>
      <c r="E45" s="4">
        <v>3</v>
      </c>
      <c r="F45" s="4"/>
      <c r="G45" s="4"/>
    </row>
    <row r="46" spans="1:16" s="2" customFormat="1" x14ac:dyDescent="0.25">
      <c r="A46" s="54" t="s">
        <v>67</v>
      </c>
      <c r="B46" s="36"/>
      <c r="C46" s="36"/>
      <c r="D46" s="55"/>
      <c r="E46" s="4"/>
      <c r="F46" s="4"/>
      <c r="G46" s="4"/>
    </row>
    <row r="47" spans="1:16" s="2" customFormat="1" x14ac:dyDescent="0.25">
      <c r="A47" s="56" t="s">
        <v>68</v>
      </c>
      <c r="B47" s="36"/>
      <c r="C47" s="36"/>
      <c r="D47" s="55"/>
      <c r="E47" s="4"/>
      <c r="F47" s="4"/>
      <c r="G47" s="4"/>
    </row>
    <row r="48" spans="1:16" s="12" customFormat="1" ht="15.75" customHeight="1" x14ac:dyDescent="0.25">
      <c r="A48" s="56" t="s">
        <v>69</v>
      </c>
      <c r="B48" s="36"/>
      <c r="C48" s="36"/>
      <c r="D48" s="55"/>
      <c r="E48" s="28"/>
      <c r="F48" s="2"/>
      <c r="G48" s="2"/>
      <c r="H48" s="2"/>
      <c r="I48" s="2"/>
      <c r="J48" s="2"/>
      <c r="K48" s="2"/>
      <c r="L48" s="2"/>
      <c r="M48" s="2"/>
      <c r="N48" s="2"/>
      <c r="O48" s="2"/>
      <c r="P48" s="2"/>
    </row>
    <row r="49" spans="1:16" s="12" customFormat="1" x14ac:dyDescent="0.25">
      <c r="A49" s="56" t="s">
        <v>70</v>
      </c>
      <c r="B49" s="36"/>
      <c r="C49" s="36"/>
      <c r="D49" s="55"/>
      <c r="E49" s="13"/>
      <c r="F49" s="4"/>
      <c r="G49" s="4"/>
      <c r="H49" s="2"/>
      <c r="I49" s="2"/>
      <c r="J49" s="2"/>
      <c r="K49" s="2"/>
      <c r="L49" s="2"/>
      <c r="M49" s="2"/>
      <c r="N49" s="2"/>
      <c r="O49" s="2"/>
      <c r="P49" s="2"/>
    </row>
    <row r="50" spans="1:16" s="2" customFormat="1" x14ac:dyDescent="0.25">
      <c r="A50" s="56" t="s">
        <v>71</v>
      </c>
      <c r="B50" s="36"/>
      <c r="C50" s="36"/>
      <c r="D50" s="55"/>
      <c r="H50" s="12"/>
      <c r="I50" s="12"/>
      <c r="J50" s="12"/>
      <c r="K50" s="12"/>
      <c r="L50" s="12"/>
      <c r="M50" s="12"/>
      <c r="N50" s="12"/>
      <c r="O50" s="12"/>
      <c r="P50" s="12"/>
    </row>
    <row r="51" spans="1:16" s="2" customFormat="1" ht="15" x14ac:dyDescent="0.25">
      <c r="A51" s="56" t="s">
        <v>72</v>
      </c>
      <c r="B51" s="12"/>
      <c r="C51" s="12"/>
      <c r="D51" s="9"/>
      <c r="E51" s="4"/>
      <c r="F51" s="4"/>
      <c r="G51" s="4"/>
      <c r="H51" s="12"/>
      <c r="I51" s="12"/>
      <c r="J51" s="12"/>
      <c r="K51" s="12"/>
      <c r="L51" s="12"/>
      <c r="M51" s="12"/>
      <c r="N51" s="12"/>
      <c r="O51" s="12"/>
      <c r="P51" s="12"/>
    </row>
    <row r="52" spans="1:16" s="2" customFormat="1" ht="15" x14ac:dyDescent="0.25">
      <c r="A52" s="56" t="s">
        <v>73</v>
      </c>
      <c r="B52" s="12"/>
      <c r="C52" s="12"/>
      <c r="D52" s="9"/>
      <c r="E52" s="4"/>
      <c r="F52" s="4"/>
      <c r="G52" s="4"/>
    </row>
    <row r="53" spans="1:16" s="2" customFormat="1" ht="15" x14ac:dyDescent="0.25">
      <c r="A53" s="54" t="s">
        <v>74</v>
      </c>
      <c r="B53" s="12"/>
      <c r="C53" s="12"/>
      <c r="D53" s="9"/>
      <c r="E53" s="4"/>
      <c r="F53" s="4"/>
      <c r="G53" s="4"/>
    </row>
    <row r="54" spans="1:16" s="2" customFormat="1" ht="15" x14ac:dyDescent="0.25">
      <c r="A54" s="54" t="s">
        <v>75</v>
      </c>
      <c r="B54" s="12"/>
      <c r="C54" s="12"/>
      <c r="D54" s="9"/>
      <c r="E54" s="4"/>
      <c r="F54" s="4"/>
      <c r="G54" s="4"/>
    </row>
    <row r="55" spans="1:16" s="2" customFormat="1" ht="15" x14ac:dyDescent="0.25">
      <c r="A55" s="54" t="s">
        <v>76</v>
      </c>
      <c r="B55" s="12"/>
      <c r="C55" s="12"/>
      <c r="D55" s="9"/>
      <c r="E55" s="4"/>
      <c r="F55" s="4"/>
      <c r="G55" s="4"/>
    </row>
    <row r="56" spans="1:16" ht="15" x14ac:dyDescent="0.25">
      <c r="A56" s="38"/>
      <c r="B56" s="4"/>
      <c r="C56" s="4"/>
      <c r="D56" s="13"/>
      <c r="E56" s="4"/>
    </row>
    <row r="57" spans="1:16" x14ac:dyDescent="0.25">
      <c r="A57" s="7" t="s">
        <v>38</v>
      </c>
      <c r="B57" s="7"/>
      <c r="C57" s="7"/>
      <c r="D57" s="7"/>
      <c r="E57" s="8" t="s">
        <v>5</v>
      </c>
    </row>
    <row r="58" spans="1:16" s="2" customFormat="1" x14ac:dyDescent="0.25">
      <c r="A58" s="11" t="s">
        <v>50</v>
      </c>
      <c r="B58" s="3"/>
      <c r="C58" s="5"/>
      <c r="E58" s="44">
        <v>1</v>
      </c>
      <c r="F58" s="13"/>
      <c r="G58" s="13"/>
      <c r="H58" s="5"/>
      <c r="I58" s="5"/>
      <c r="J58" s="5"/>
      <c r="K58" s="5"/>
      <c r="L58" s="5"/>
      <c r="M58" s="5"/>
      <c r="N58" s="5"/>
      <c r="O58" s="5"/>
      <c r="P58" s="5"/>
    </row>
    <row r="59" spans="1:16" s="2" customFormat="1" x14ac:dyDescent="0.25">
      <c r="A59" s="45" t="s">
        <v>51</v>
      </c>
      <c r="B59" s="3"/>
      <c r="C59" s="5"/>
      <c r="E59" s="5"/>
      <c r="F59" s="13"/>
    </row>
    <row r="60" spans="1:16" s="2" customFormat="1" x14ac:dyDescent="0.25">
      <c r="A60" s="45" t="s">
        <v>52</v>
      </c>
      <c r="B60" s="3"/>
      <c r="C60" s="5"/>
      <c r="E60" s="4"/>
      <c r="F60" s="13"/>
      <c r="G60" s="13"/>
    </row>
    <row r="61" spans="1:16" s="2" customFormat="1" x14ac:dyDescent="0.25">
      <c r="A61" s="45"/>
      <c r="B61" s="3"/>
      <c r="C61" s="5"/>
      <c r="E61" s="4"/>
      <c r="F61" s="13"/>
      <c r="G61" s="13"/>
    </row>
    <row r="62" spans="1:16" x14ac:dyDescent="0.25">
      <c r="A62" s="46" t="s">
        <v>53</v>
      </c>
      <c r="C62" s="2"/>
      <c r="E62" s="4">
        <v>1</v>
      </c>
      <c r="F62" s="13"/>
      <c r="H62" s="2"/>
      <c r="I62" s="2"/>
      <c r="J62" s="2"/>
      <c r="K62" s="2"/>
      <c r="L62" s="2"/>
      <c r="M62" s="2"/>
      <c r="N62" s="2"/>
      <c r="O62" s="2"/>
      <c r="P62" s="2"/>
    </row>
    <row r="63" spans="1:16" x14ac:dyDescent="0.25">
      <c r="A63" s="47"/>
      <c r="C63" s="2"/>
      <c r="E63" s="4"/>
      <c r="F63" s="13"/>
      <c r="H63" s="2"/>
      <c r="I63" s="2"/>
      <c r="J63" s="2"/>
      <c r="K63" s="2"/>
      <c r="L63" s="2"/>
      <c r="M63" s="2"/>
      <c r="N63" s="2"/>
      <c r="O63" s="2"/>
      <c r="P63" s="2"/>
    </row>
    <row r="64" spans="1:16" x14ac:dyDescent="0.25">
      <c r="A64" s="46"/>
      <c r="C64" s="2"/>
      <c r="E64" s="9"/>
      <c r="F64" s="28"/>
      <c r="G64" s="17"/>
      <c r="H64" s="2"/>
      <c r="I64" s="2"/>
      <c r="J64" s="2"/>
      <c r="K64" s="2" t="s">
        <v>54</v>
      </c>
      <c r="L64" s="2"/>
      <c r="M64" s="2"/>
      <c r="N64" s="2"/>
      <c r="O64" s="2"/>
      <c r="P64" s="2"/>
    </row>
    <row r="65" spans="1:18" x14ac:dyDescent="0.25">
      <c r="A65" s="46"/>
      <c r="C65" s="2"/>
      <c r="E65" s="9"/>
      <c r="F65" s="28"/>
      <c r="G65" s="17"/>
      <c r="H65" s="2"/>
      <c r="I65" s="2"/>
      <c r="J65" s="2"/>
      <c r="K65" s="46" t="s">
        <v>55</v>
      </c>
      <c r="L65" s="2"/>
      <c r="M65" s="2"/>
      <c r="N65" s="9">
        <v>0.25</v>
      </c>
      <c r="O65" s="28"/>
      <c r="P65" s="48"/>
    </row>
    <row r="66" spans="1:18" x14ac:dyDescent="0.25">
      <c r="C66" s="5"/>
      <c r="H66" s="5"/>
      <c r="J66" s="2"/>
      <c r="K66" s="12" t="s">
        <v>56</v>
      </c>
      <c r="L66" s="3"/>
      <c r="N66" s="36"/>
      <c r="O66" s="28">
        <v>0.25</v>
      </c>
      <c r="P66" s="48"/>
      <c r="R66" s="12" t="s">
        <v>57</v>
      </c>
    </row>
    <row r="67" spans="1:18" x14ac:dyDescent="0.25">
      <c r="C67" s="5"/>
      <c r="H67" s="5"/>
      <c r="J67" s="2"/>
      <c r="K67" s="49" t="s">
        <v>58</v>
      </c>
      <c r="L67" s="2"/>
      <c r="M67" s="2"/>
      <c r="N67" s="9"/>
      <c r="O67" s="28"/>
      <c r="P67" s="48"/>
    </row>
    <row r="68" spans="1:18" x14ac:dyDescent="0.25">
      <c r="C68" s="5"/>
      <c r="H68" s="5"/>
      <c r="J68" s="2"/>
      <c r="K68" s="49" t="s">
        <v>59</v>
      </c>
      <c r="L68" s="2"/>
      <c r="M68" s="2"/>
      <c r="N68" s="9"/>
      <c r="O68" s="28"/>
      <c r="P68" s="48"/>
    </row>
    <row r="69" spans="1:18" x14ac:dyDescent="0.25">
      <c r="C69" s="5"/>
      <c r="H69" s="5"/>
    </row>
    <row r="70" spans="1:18" ht="14.25" customHeight="1" x14ac:dyDescent="0.25">
      <c r="A70" s="11" t="s">
        <v>60</v>
      </c>
      <c r="C70" s="5"/>
      <c r="E70" s="9">
        <v>3</v>
      </c>
      <c r="F70" s="28"/>
      <c r="H70" s="5"/>
    </row>
    <row r="71" spans="1:18" s="2" customFormat="1" x14ac:dyDescent="0.25">
      <c r="A71" s="50" t="s">
        <v>61</v>
      </c>
      <c r="B71" s="3"/>
      <c r="C71" s="5"/>
      <c r="E71" s="9"/>
      <c r="F71" s="16">
        <v>2.25</v>
      </c>
      <c r="H71" s="5"/>
      <c r="I71" s="5"/>
      <c r="J71" s="5"/>
      <c r="K71" s="5"/>
      <c r="L71" s="5"/>
      <c r="M71" s="5"/>
      <c r="N71" s="5"/>
      <c r="O71" s="5"/>
      <c r="P71" s="5"/>
    </row>
    <row r="72" spans="1:18" ht="15.75" customHeight="1" x14ac:dyDescent="0.25">
      <c r="A72" s="50" t="s">
        <v>62</v>
      </c>
      <c r="C72" s="5"/>
      <c r="E72" s="36"/>
      <c r="F72" s="28">
        <v>0.25</v>
      </c>
      <c r="H72" s="5"/>
    </row>
    <row r="73" spans="1:18" ht="15.75" customHeight="1" x14ac:dyDescent="0.25">
      <c r="A73" s="45" t="s">
        <v>63</v>
      </c>
      <c r="C73" s="5"/>
      <c r="E73" s="36"/>
      <c r="F73" s="28">
        <v>0.25</v>
      </c>
      <c r="H73" s="2"/>
      <c r="I73" s="2"/>
      <c r="J73" s="2"/>
      <c r="K73" s="2"/>
      <c r="L73" s="2"/>
      <c r="M73" s="2"/>
      <c r="N73" s="2"/>
      <c r="O73" s="2"/>
      <c r="P73" s="2"/>
    </row>
    <row r="74" spans="1:18" ht="15.75" customHeight="1" x14ac:dyDescent="0.25">
      <c r="A74" s="12" t="s">
        <v>64</v>
      </c>
      <c r="C74" s="5"/>
      <c r="E74" s="36"/>
      <c r="F74" s="28"/>
      <c r="H74" s="2"/>
      <c r="I74" s="2"/>
      <c r="J74" s="2"/>
      <c r="K74" s="2"/>
      <c r="L74" s="2"/>
      <c r="M74" s="2"/>
      <c r="N74" s="2"/>
      <c r="O74" s="2"/>
      <c r="P74" s="2"/>
    </row>
    <row r="75" spans="1:18" s="12" customFormat="1" x14ac:dyDescent="0.25">
      <c r="A75" s="50" t="s">
        <v>65</v>
      </c>
      <c r="B75" s="3"/>
      <c r="C75" s="5"/>
      <c r="E75" s="36"/>
      <c r="F75" s="28">
        <v>0.25</v>
      </c>
      <c r="H75" s="5"/>
      <c r="I75" s="5"/>
      <c r="J75" s="5"/>
      <c r="K75" s="5"/>
      <c r="L75" s="5"/>
      <c r="M75" s="5"/>
      <c r="N75" s="5"/>
      <c r="O75" s="5"/>
      <c r="P75" s="5"/>
    </row>
    <row r="76" spans="1:18" ht="15" x14ac:dyDescent="0.25">
      <c r="A76" s="11"/>
      <c r="B76" s="4"/>
      <c r="C76" s="4"/>
      <c r="D76" s="13"/>
      <c r="E76" s="13"/>
    </row>
    <row r="77" spans="1:18" x14ac:dyDescent="0.25">
      <c r="A77" s="7" t="s">
        <v>39</v>
      </c>
      <c r="B77" s="7"/>
      <c r="C77" s="7"/>
      <c r="D77" s="7"/>
      <c r="E77" s="14">
        <f>SUM(E9:E76)</f>
        <v>10.75</v>
      </c>
    </row>
    <row r="78" spans="1:18" x14ac:dyDescent="0.25">
      <c r="A78" s="3"/>
      <c r="B78" s="15"/>
      <c r="C78" s="15"/>
      <c r="D78" s="13"/>
      <c r="E78" s="13"/>
    </row>
    <row r="79" spans="1:18" x14ac:dyDescent="0.25">
      <c r="A79" s="22" t="s">
        <v>40</v>
      </c>
      <c r="B79" s="40"/>
      <c r="C79" s="40"/>
      <c r="D79" s="40"/>
      <c r="E79" s="40"/>
    </row>
    <row r="80" spans="1:18" ht="15.75" customHeight="1" x14ac:dyDescent="0.25">
      <c r="A80" s="57"/>
      <c r="B80" s="57"/>
      <c r="C80" s="57"/>
      <c r="D80" s="57"/>
      <c r="E80" s="57"/>
    </row>
    <row r="81" spans="1:5" ht="15.75" customHeight="1" x14ac:dyDescent="0.25">
      <c r="A81" s="57"/>
      <c r="B81" s="57"/>
      <c r="C81" s="57"/>
      <c r="D81" s="57"/>
      <c r="E81" s="57"/>
    </row>
    <row r="82" spans="1:5" ht="15.75" customHeight="1" x14ac:dyDescent="0.25">
      <c r="A82" s="58"/>
      <c r="B82" s="58"/>
      <c r="C82" s="58"/>
      <c r="D82" s="58"/>
      <c r="E82" s="58"/>
    </row>
    <row r="83" spans="1:5" ht="15.75" customHeight="1" x14ac:dyDescent="0.25">
      <c r="A83" s="58" t="s">
        <v>77</v>
      </c>
      <c r="B83" s="58"/>
      <c r="C83" s="58"/>
      <c r="D83" s="58"/>
      <c r="E83" s="58"/>
    </row>
    <row r="84" spans="1:5" ht="15.75" customHeight="1" x14ac:dyDescent="0.25">
      <c r="A84" s="58"/>
      <c r="B84" s="58"/>
      <c r="C84" s="58"/>
      <c r="D84" s="58"/>
      <c r="E84" s="58"/>
    </row>
    <row r="85" spans="1:5" ht="15.75" customHeight="1" x14ac:dyDescent="0.25">
      <c r="A85" s="58" t="s">
        <v>78</v>
      </c>
      <c r="B85" s="58"/>
      <c r="C85" s="58"/>
      <c r="D85" s="58"/>
      <c r="E85" s="58"/>
    </row>
    <row r="86" spans="1:5" ht="15.75" customHeight="1" x14ac:dyDescent="0.25">
      <c r="A86" s="58"/>
      <c r="B86" s="58"/>
      <c r="C86" s="58"/>
      <c r="D86" s="58"/>
      <c r="E86" s="58"/>
    </row>
    <row r="87" spans="1:5" ht="15.75" customHeight="1" x14ac:dyDescent="0.25">
      <c r="A87" s="58" t="s">
        <v>79</v>
      </c>
      <c r="B87" s="58"/>
      <c r="C87" s="58"/>
      <c r="D87" s="58"/>
      <c r="E87" s="58"/>
    </row>
    <row r="88" spans="1:5" ht="15.75" customHeight="1" x14ac:dyDescent="0.25">
      <c r="A88" s="58"/>
      <c r="B88" s="58"/>
      <c r="C88" s="58"/>
      <c r="D88" s="58"/>
      <c r="E88" s="58"/>
    </row>
    <row r="89" spans="1:5" ht="15.75" customHeight="1" x14ac:dyDescent="0.25">
      <c r="A89" s="58" t="s">
        <v>80</v>
      </c>
      <c r="B89" s="58"/>
      <c r="C89" s="58"/>
      <c r="D89" s="58"/>
      <c r="E89" s="58"/>
    </row>
    <row r="90" spans="1:5" ht="15.75" customHeight="1" x14ac:dyDescent="0.25">
      <c r="A90" s="58"/>
      <c r="B90" s="58"/>
      <c r="C90" s="58"/>
      <c r="D90" s="58"/>
      <c r="E90" s="58"/>
    </row>
    <row r="91" spans="1:5" ht="15.75" customHeight="1" x14ac:dyDescent="0.25">
      <c r="A91" s="58" t="s">
        <v>81</v>
      </c>
      <c r="B91" s="58"/>
      <c r="C91" s="58"/>
      <c r="D91" s="58"/>
      <c r="E91" s="58"/>
    </row>
    <row r="92" spans="1:5" ht="15.75" customHeight="1" x14ac:dyDescent="0.25">
      <c r="A92" s="58"/>
      <c r="B92" s="58"/>
      <c r="C92" s="58"/>
      <c r="D92" s="58"/>
      <c r="E92" s="58"/>
    </row>
    <row r="93" spans="1:5" ht="15.75" customHeight="1" x14ac:dyDescent="0.25">
      <c r="A93" s="58" t="s">
        <v>82</v>
      </c>
      <c r="B93" s="58"/>
      <c r="C93" s="58"/>
      <c r="D93" s="58"/>
      <c r="E93" s="58"/>
    </row>
    <row r="94" spans="1:5" ht="15.75" customHeight="1" x14ac:dyDescent="0.25">
      <c r="A94" s="58"/>
      <c r="B94" s="58"/>
      <c r="C94" s="58"/>
      <c r="D94" s="58"/>
      <c r="E94" s="58"/>
    </row>
    <row r="95" spans="1:5" ht="15.75" customHeight="1" x14ac:dyDescent="0.25">
      <c r="A95" s="58" t="s">
        <v>83</v>
      </c>
      <c r="B95" s="58"/>
      <c r="C95" s="58"/>
      <c r="D95" s="58"/>
      <c r="E95" s="58"/>
    </row>
    <row r="96" spans="1:5" ht="15.75" customHeight="1" x14ac:dyDescent="0.25">
      <c r="A96" s="58"/>
      <c r="B96" s="58"/>
      <c r="C96" s="58"/>
      <c r="D96" s="58"/>
      <c r="E96" s="58"/>
    </row>
    <row r="97" spans="1:5" ht="15.75" customHeight="1" x14ac:dyDescent="0.25">
      <c r="A97" s="58" t="s">
        <v>84</v>
      </c>
      <c r="B97" s="58"/>
      <c r="C97" s="58"/>
      <c r="D97" s="58"/>
      <c r="E97" s="58"/>
    </row>
    <row r="98" spans="1:5" ht="15.75" customHeight="1" x14ac:dyDescent="0.25">
      <c r="A98" s="58"/>
      <c r="B98" s="58"/>
      <c r="C98" s="58"/>
      <c r="D98" s="58"/>
      <c r="E98" s="58"/>
    </row>
    <row r="99" spans="1:5" ht="15.75" customHeight="1" x14ac:dyDescent="0.25">
      <c r="A99" s="58" t="s">
        <v>85</v>
      </c>
      <c r="B99" s="58"/>
      <c r="C99" s="58"/>
      <c r="D99" s="58"/>
      <c r="E99" s="58"/>
    </row>
    <row r="100" spans="1:5" ht="15.75" customHeight="1" x14ac:dyDescent="0.25">
      <c r="A100" s="58"/>
      <c r="B100" s="58"/>
      <c r="C100" s="58"/>
      <c r="D100" s="58"/>
      <c r="E100" s="58"/>
    </row>
    <row r="101" spans="1:5" ht="15.75" customHeight="1" x14ac:dyDescent="0.25">
      <c r="A101" s="58" t="s">
        <v>86</v>
      </c>
      <c r="B101" s="58"/>
      <c r="C101" s="58"/>
      <c r="D101" s="58"/>
      <c r="E101" s="58"/>
    </row>
    <row r="102" spans="1:5" ht="15.75" customHeight="1" x14ac:dyDescent="0.25">
      <c r="A102" s="58"/>
      <c r="B102" s="58"/>
      <c r="C102" s="58"/>
      <c r="D102" s="58"/>
      <c r="E102" s="58"/>
    </row>
    <row r="103" spans="1:5" ht="15.75" customHeight="1" x14ac:dyDescent="0.25">
      <c r="A103" s="58" t="s">
        <v>87</v>
      </c>
      <c r="B103" s="58"/>
      <c r="C103" s="58"/>
      <c r="D103" s="58"/>
      <c r="E103" s="58"/>
    </row>
    <row r="104" spans="1:5" ht="15.75" customHeight="1" x14ac:dyDescent="0.25">
      <c r="A104" s="57"/>
      <c r="B104" s="57"/>
      <c r="C104" s="57"/>
      <c r="D104" s="57"/>
      <c r="E104" s="57"/>
    </row>
    <row r="105" spans="1:5" ht="15.75" customHeight="1" x14ac:dyDescent="0.25">
      <c r="A105" s="57" t="s">
        <v>88</v>
      </c>
      <c r="B105" s="57"/>
      <c r="C105" s="57"/>
      <c r="D105" s="57"/>
      <c r="E105" s="57"/>
    </row>
    <row r="106" spans="1:5" ht="15.75" customHeight="1" x14ac:dyDescent="0.25">
      <c r="A106" s="57"/>
      <c r="B106" s="57"/>
      <c r="C106" s="57"/>
      <c r="D106" s="57"/>
      <c r="E106" s="57"/>
    </row>
    <row r="107" spans="1:5" ht="15.75" customHeight="1" x14ac:dyDescent="0.25">
      <c r="A107" s="57" t="s">
        <v>89</v>
      </c>
      <c r="B107" s="57"/>
      <c r="C107" s="57"/>
      <c r="D107" s="57"/>
      <c r="E107" s="57"/>
    </row>
    <row r="108" spans="1:5" ht="15.75" customHeight="1" x14ac:dyDescent="0.25">
      <c r="A108" s="57"/>
      <c r="B108" s="57"/>
      <c r="C108" s="57"/>
      <c r="D108" s="57"/>
      <c r="E108" s="57"/>
    </row>
    <row r="109" spans="1:5" ht="15.75" customHeight="1" x14ac:dyDescent="0.25">
      <c r="A109" s="57" t="s">
        <v>90</v>
      </c>
      <c r="B109" s="57"/>
      <c r="C109" s="57"/>
      <c r="D109" s="57"/>
      <c r="E109" s="57"/>
    </row>
    <row r="110" spans="1:5" ht="15.75" customHeight="1" x14ac:dyDescent="0.25">
      <c r="A110" s="57"/>
      <c r="B110" s="57"/>
      <c r="C110" s="57"/>
      <c r="D110" s="57"/>
      <c r="E110" s="57"/>
    </row>
    <row r="111" spans="1:5" ht="15.75" customHeight="1" x14ac:dyDescent="0.25">
      <c r="A111" s="57" t="s">
        <v>91</v>
      </c>
      <c r="B111" s="57"/>
      <c r="C111" s="57"/>
      <c r="D111" s="57"/>
      <c r="E111" s="57"/>
    </row>
    <row r="112" spans="1:5" ht="15.75" customHeight="1" x14ac:dyDescent="0.25">
      <c r="A112" s="57"/>
      <c r="B112" s="57"/>
      <c r="C112" s="57"/>
      <c r="D112" s="57"/>
      <c r="E112" s="57"/>
    </row>
    <row r="113" spans="1:5" ht="15.75" customHeight="1" x14ac:dyDescent="0.25">
      <c r="A113" s="57" t="s">
        <v>92</v>
      </c>
      <c r="B113" s="57"/>
      <c r="C113" s="57"/>
      <c r="D113" s="57"/>
      <c r="E113" s="57"/>
    </row>
    <row r="114" spans="1:5" ht="15.75" customHeight="1" x14ac:dyDescent="0.25">
      <c r="A114" s="57"/>
      <c r="B114" s="57"/>
      <c r="C114" s="57"/>
      <c r="D114" s="57"/>
      <c r="E114" s="57"/>
    </row>
    <row r="115" spans="1:5" ht="15.75" customHeight="1" x14ac:dyDescent="0.25">
      <c r="A115" s="57" t="s">
        <v>93</v>
      </c>
      <c r="B115" s="57"/>
      <c r="C115" s="57"/>
      <c r="D115" s="57"/>
      <c r="E115" s="57"/>
    </row>
    <row r="116" spans="1:5" ht="15.75" customHeight="1" x14ac:dyDescent="0.25">
      <c r="A116" s="57"/>
      <c r="B116" s="57"/>
      <c r="C116" s="57"/>
      <c r="D116" s="57"/>
      <c r="E116" s="57"/>
    </row>
    <row r="117" spans="1:5" ht="15.75" customHeight="1" x14ac:dyDescent="0.25">
      <c r="A117" s="57" t="s">
        <v>94</v>
      </c>
      <c r="B117" s="57"/>
      <c r="C117" s="57"/>
      <c r="D117" s="57"/>
      <c r="E117" s="57"/>
    </row>
    <row r="118" spans="1:5" ht="15.75" customHeight="1" x14ac:dyDescent="0.25">
      <c r="A118" s="57"/>
      <c r="B118" s="57"/>
      <c r="C118" s="57"/>
      <c r="D118" s="57"/>
      <c r="E118" s="57"/>
    </row>
    <row r="119" spans="1:5" ht="15.75" customHeight="1" x14ac:dyDescent="0.25">
      <c r="A119" s="57" t="s">
        <v>95</v>
      </c>
      <c r="B119" s="57"/>
      <c r="C119" s="57"/>
      <c r="D119" s="57"/>
      <c r="E119" s="57"/>
    </row>
    <row r="120" spans="1:5" ht="15.75" customHeight="1" x14ac:dyDescent="0.25">
      <c r="A120" s="57"/>
      <c r="B120" s="57"/>
      <c r="C120" s="57"/>
      <c r="D120" s="57"/>
      <c r="E120" s="57"/>
    </row>
    <row r="121" spans="1:5" ht="15.75" customHeight="1" x14ac:dyDescent="0.25">
      <c r="A121" s="57" t="s">
        <v>96</v>
      </c>
      <c r="B121" s="57"/>
      <c r="C121" s="57"/>
      <c r="D121" s="57"/>
      <c r="E121" s="57"/>
    </row>
    <row r="122" spans="1:5" ht="15.75" customHeight="1" x14ac:dyDescent="0.25">
      <c r="A122" s="57"/>
      <c r="B122" s="57"/>
      <c r="C122" s="57"/>
      <c r="D122" s="57"/>
      <c r="E122" s="57"/>
    </row>
    <row r="123" spans="1:5" ht="15.75" customHeight="1" x14ac:dyDescent="0.25">
      <c r="A123" s="57" t="s">
        <v>97</v>
      </c>
      <c r="B123" s="57"/>
      <c r="C123" s="57"/>
      <c r="D123" s="57"/>
      <c r="E123" s="57"/>
    </row>
    <row r="124" spans="1:5" ht="15.75" customHeight="1" x14ac:dyDescent="0.25">
      <c r="A124" s="57"/>
      <c r="B124" s="57"/>
      <c r="C124" s="57"/>
      <c r="D124" s="57"/>
      <c r="E124" s="57"/>
    </row>
    <row r="125" spans="1:5" ht="15.75" customHeight="1" x14ac:dyDescent="0.25">
      <c r="A125" s="57" t="s">
        <v>98</v>
      </c>
      <c r="B125" s="57"/>
      <c r="C125" s="57"/>
      <c r="D125" s="57"/>
      <c r="E125" s="57"/>
    </row>
    <row r="126" spans="1:5" ht="15.75" customHeight="1" x14ac:dyDescent="0.25">
      <c r="A126" s="57"/>
      <c r="B126" s="57"/>
      <c r="C126" s="57"/>
      <c r="D126" s="57"/>
      <c r="E126" s="57"/>
    </row>
    <row r="127" spans="1:5" ht="15.75" customHeight="1" x14ac:dyDescent="0.25">
      <c r="A127" s="57" t="s">
        <v>99</v>
      </c>
      <c r="B127" s="57"/>
      <c r="C127" s="57"/>
      <c r="D127" s="57"/>
      <c r="E127" s="57"/>
    </row>
    <row r="128" spans="1:5" ht="15.75" customHeight="1" x14ac:dyDescent="0.25">
      <c r="A128" s="57"/>
      <c r="B128" s="57"/>
      <c r="C128" s="57"/>
      <c r="D128" s="57"/>
      <c r="E128" s="57"/>
    </row>
    <row r="129" spans="1:5" ht="15.75" customHeight="1" x14ac:dyDescent="0.25">
      <c r="A129" s="57" t="s">
        <v>100</v>
      </c>
      <c r="B129" s="57"/>
      <c r="C129" s="57"/>
      <c r="D129" s="57"/>
      <c r="E129" s="57"/>
    </row>
    <row r="130" spans="1:5" ht="15.75" customHeight="1" x14ac:dyDescent="0.25">
      <c r="A130" s="57"/>
      <c r="B130" s="57"/>
      <c r="C130" s="57"/>
      <c r="D130" s="57"/>
      <c r="E130" s="57"/>
    </row>
    <row r="131" spans="1:5" ht="15.75" customHeight="1" x14ac:dyDescent="0.25">
      <c r="A131" s="57" t="s">
        <v>101</v>
      </c>
      <c r="B131" s="57"/>
      <c r="C131" s="57"/>
      <c r="D131" s="57"/>
      <c r="E131" s="57"/>
    </row>
  </sheetData>
  <mergeCells count="55">
    <mergeCell ref="A102:E102"/>
    <mergeCell ref="A101:E101"/>
    <mergeCell ref="A103:E103"/>
    <mergeCell ref="A104:E104"/>
    <mergeCell ref="A105:E105"/>
    <mergeCell ref="A106:E106"/>
    <mergeCell ref="A107:E107"/>
    <mergeCell ref="A108:E108"/>
    <mergeCell ref="A109:E109"/>
    <mergeCell ref="A110:E110"/>
    <mergeCell ref="A111:E111"/>
    <mergeCell ref="A112:E112"/>
    <mergeCell ref="A113:E113"/>
    <mergeCell ref="A123:E123"/>
    <mergeCell ref="A124:E124"/>
    <mergeCell ref="A125:E125"/>
    <mergeCell ref="A126:E126"/>
    <mergeCell ref="A127:E127"/>
    <mergeCell ref="A128:E128"/>
    <mergeCell ref="A129:E129"/>
    <mergeCell ref="A130:E130"/>
    <mergeCell ref="A131:E131"/>
    <mergeCell ref="A114:E114"/>
    <mergeCell ref="A115:E115"/>
    <mergeCell ref="A116:E116"/>
    <mergeCell ref="A117:E117"/>
    <mergeCell ref="A118:E118"/>
    <mergeCell ref="A119:E119"/>
    <mergeCell ref="A120:E120"/>
    <mergeCell ref="A121:E121"/>
    <mergeCell ref="A93:E93"/>
    <mergeCell ref="A94:E94"/>
    <mergeCell ref="A95:E95"/>
    <mergeCell ref="A96:E96"/>
    <mergeCell ref="A97:E97"/>
    <mergeCell ref="A80:E80"/>
    <mergeCell ref="A100:E100"/>
    <mergeCell ref="A81:E81"/>
    <mergeCell ref="A82:E82"/>
    <mergeCell ref="A83:E83"/>
    <mergeCell ref="A84:E84"/>
    <mergeCell ref="A85:E85"/>
    <mergeCell ref="A86:E86"/>
    <mergeCell ref="A87:E87"/>
    <mergeCell ref="A88:E88"/>
    <mergeCell ref="A89:E89"/>
    <mergeCell ref="A90:E90"/>
    <mergeCell ref="A91:E91"/>
    <mergeCell ref="A122:E122"/>
    <mergeCell ref="A98:E98"/>
    <mergeCell ref="A99:E99"/>
    <mergeCell ref="A92:E92"/>
    <mergeCell ref="A2:E2"/>
    <mergeCell ref="A5:E5"/>
    <mergeCell ref="A7:E7"/>
  </mergeCells>
  <pageMargins left="0.5" right="0.5" top="0.5" bottom="0.75" header="0.3" footer="0.3"/>
  <pageSetup scale="25" fitToHeight="0" orientation="portrait" r:id="rId1"/>
  <headerFooter>
    <oddFooter>&amp;CPage &amp;P of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1D1271329524498AFDDD32DE588E03" ma:contentTypeVersion="31" ma:contentTypeDescription="Create a new document." ma:contentTypeScope="" ma:versionID="bcc7c74bef152abac329e8f68934cefb">
  <xsd:schema xmlns:xsd="http://www.w3.org/2001/XMLSchema" xmlns:xs="http://www.w3.org/2001/XMLSchema" xmlns:p="http://schemas.microsoft.com/office/2006/metadata/properties" xmlns:ns2="7e83d2dc-68d1-4912-b76c-bebf2ac3755c" xmlns:ns3="8796b9fa-d9fc-49ee-bfe3-e8e3f6c8e6b9" targetNamespace="http://schemas.microsoft.com/office/2006/metadata/properties" ma:root="true" ma:fieldsID="4995bf6cf66721c51a83603a6b74daeb" ns2:_="" ns3:_="">
    <xsd:import namespace="7e83d2dc-68d1-4912-b76c-bebf2ac3755c"/>
    <xsd:import namespace="8796b9fa-d9fc-49ee-bfe3-e8e3f6c8e6b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k6de67457aa54369b46d9b743cebe52d" minOccurs="0"/>
                <xsd:element ref="ns2:ke3c6b578e6e419e96c01ebc87dfb13c" minOccurs="0"/>
                <xsd:element ref="ns2:adbe64da05be4baa97c0a1b9d9fc7399" minOccurs="0"/>
                <xsd:element ref="ns2:p6eb1c22fb0c4f898d8236608a18df96" minOccurs="0"/>
                <xsd:element ref="ns2:ec89297846d242efab2fe5ea3581dbef" minOccurs="0"/>
                <xsd:element ref="ns2:hb51427408e64abaa9a060a875d8049b"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83d2dc-68d1-4912-b76c-bebf2ac375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c7ed5e9-1a20-4fbe-9214-deddaed599c0" ma:termSetId="09814cd3-568e-fe90-9814-8d621ff8fb84" ma:anchorId="fba54fb3-c3e1-fe81-a776-ca4b69148c4d" ma:open="true" ma:isKeyword="false">
      <xsd:complexType>
        <xsd:sequence>
          <xsd:element ref="pc:Terms" minOccurs="0" maxOccurs="1"/>
        </xsd:sequence>
      </xsd:complexType>
    </xsd:element>
    <xsd:element name="k6de67457aa54369b46d9b743cebe52d" ma:index="25" nillable="true" ma:taxonomy="true" ma:internalName="k6de67457aa54369b46d9b743cebe52d" ma:taxonomyFieldName="Technology" ma:displayName="Technology" ma:default="" ma:fieldId="{46de6745-7aa5-4369-b46d-9b743cebe52d}" ma:taxonomyMulti="true" ma:sspId="ec7ed5e9-1a20-4fbe-9214-deddaed599c0" ma:termSetId="6ec82f2c-d318-4689-9d90-cb8fd82e23d5" ma:anchorId="00000000-0000-0000-0000-000000000000" ma:open="false" ma:isKeyword="false">
      <xsd:complexType>
        <xsd:sequence>
          <xsd:element ref="pc:Terms" minOccurs="0" maxOccurs="1"/>
        </xsd:sequence>
      </xsd:complexType>
    </xsd:element>
    <xsd:element name="ke3c6b578e6e419e96c01ebc87dfb13c" ma:index="27" nillable="true" ma:taxonomy="true" ma:internalName="ke3c6b578e6e419e96c01ebc87dfb13c" ma:taxonomyFieldName="Product" ma:displayName="Product" ma:default="" ma:fieldId="{4e3c6b57-8e6e-419e-96c0-1ebc87dfb13c}" ma:taxonomyMulti="true" ma:sspId="ec7ed5e9-1a20-4fbe-9214-deddaed599c0" ma:termSetId="e57c09fe-1169-4487-855a-b29919d6ed83" ma:anchorId="00000000-0000-0000-0000-000000000000" ma:open="false" ma:isKeyword="false">
      <xsd:complexType>
        <xsd:sequence>
          <xsd:element ref="pc:Terms" minOccurs="0" maxOccurs="1"/>
        </xsd:sequence>
      </xsd:complexType>
    </xsd:element>
    <xsd:element name="adbe64da05be4baa97c0a1b9d9fc7399" ma:index="29" nillable="true" ma:taxonomy="true" ma:internalName="adbe64da05be4baa97c0a1b9d9fc7399" ma:taxonomyFieldName="Business_x0020_Requirement_x0020_" ma:displayName="Business Requirement " ma:default="" ma:fieldId="{adbe64da-05be-4baa-97c0-a1b9d9fc7399}" ma:taxonomyMulti="true" ma:sspId="ec7ed5e9-1a20-4fbe-9214-deddaed599c0" ma:termSetId="581c5635-fa94-4700-bb43-988396e1a055" ma:anchorId="00000000-0000-0000-0000-000000000000" ma:open="false" ma:isKeyword="false">
      <xsd:complexType>
        <xsd:sequence>
          <xsd:element ref="pc:Terms" minOccurs="0" maxOccurs="1"/>
        </xsd:sequence>
      </xsd:complexType>
    </xsd:element>
    <xsd:element name="p6eb1c22fb0c4f898d8236608a18df96" ma:index="31" nillable="true" ma:taxonomy="true" ma:internalName="p6eb1c22fb0c4f898d8236608a18df96" ma:taxonomyFieldName="Operation" ma:displayName="Operation" ma:default="" ma:fieldId="{96eb1c22-fb0c-4f89-8d82-36608a18df96}" ma:taxonomyMulti="true" ma:sspId="ec7ed5e9-1a20-4fbe-9214-deddaed599c0" ma:termSetId="8e2649f9-063f-492d-b295-30cc7fdb1b1c" ma:anchorId="00000000-0000-0000-0000-000000000000" ma:open="false" ma:isKeyword="false">
      <xsd:complexType>
        <xsd:sequence>
          <xsd:element ref="pc:Terms" minOccurs="0" maxOccurs="1"/>
        </xsd:sequence>
      </xsd:complexType>
    </xsd:element>
    <xsd:element name="ec89297846d242efab2fe5ea3581dbef" ma:index="33" nillable="true" ma:taxonomy="true" ma:internalName="ec89297846d242efab2fe5ea3581dbef" ma:taxonomyFieldName="Endpoint" ma:displayName="Endpoint" ma:default="" ma:fieldId="{ec892978-46d2-42ef-ab2f-e5ea3581dbef}" ma:taxonomyMulti="true" ma:sspId="ec7ed5e9-1a20-4fbe-9214-deddaed599c0" ma:termSetId="444bbf98-b73e-44d0-aa23-f29a827585ed" ma:anchorId="00000000-0000-0000-0000-000000000000" ma:open="false" ma:isKeyword="false">
      <xsd:complexType>
        <xsd:sequence>
          <xsd:element ref="pc:Terms" minOccurs="0" maxOccurs="1"/>
        </xsd:sequence>
      </xsd:complexType>
    </xsd:element>
    <xsd:element name="hb51427408e64abaa9a060a875d8049b" ma:index="35" nillable="true" ma:taxonomy="true" ma:internalName="hb51427408e64abaa9a060a875d8049b" ma:taxonomyFieldName="MSP_x0020_Name" ma:displayName="MSP Name" ma:default="" ma:fieldId="{1b514274-08e6-4aba-a9a0-60a875d8049b}" ma:sspId="ec7ed5e9-1a20-4fbe-9214-deddaed599c0" ma:termSetId="ba4dea1d-b2f4-4d2d-8c54-a9a17d3921bf" ma:anchorId="00000000-0000-0000-0000-000000000000" ma:open="false" ma:isKeyword="false">
      <xsd:complexType>
        <xsd:sequence>
          <xsd:element ref="pc:Terms" minOccurs="0" maxOccurs="1"/>
        </xsd:sequence>
      </xsd:complex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96b9fa-d9fc-49ee-bfe3-e8e3f6c8e6b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871121b-a469-4aa2-a093-f6f462e4a03b}" ma:internalName="TaxCatchAll" ma:showField="CatchAllData" ma:web="8796b9fa-d9fc-49ee-bfe3-e8e3f6c8e6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796b9fa-d9fc-49ee-bfe3-e8e3f6c8e6b9" xsi:nil="true"/>
    <lcf76f155ced4ddcb4097134ff3c332f xmlns="7e83d2dc-68d1-4912-b76c-bebf2ac3755c">
      <Terms xmlns="http://schemas.microsoft.com/office/infopath/2007/PartnerControls"/>
    </lcf76f155ced4ddcb4097134ff3c332f>
    <k6de67457aa54369b46d9b743cebe52d xmlns="7e83d2dc-68d1-4912-b76c-bebf2ac3755c">
      <Terms xmlns="http://schemas.microsoft.com/office/infopath/2007/PartnerControls"/>
    </k6de67457aa54369b46d9b743cebe52d>
    <adbe64da05be4baa97c0a1b9d9fc7399 xmlns="7e83d2dc-68d1-4912-b76c-bebf2ac3755c">
      <Terms xmlns="http://schemas.microsoft.com/office/infopath/2007/PartnerControls"/>
    </adbe64da05be4baa97c0a1b9d9fc7399>
    <ke3c6b578e6e419e96c01ebc87dfb13c xmlns="7e83d2dc-68d1-4912-b76c-bebf2ac3755c">
      <Terms xmlns="http://schemas.microsoft.com/office/infopath/2007/PartnerControls"/>
    </ke3c6b578e6e419e96c01ebc87dfb13c>
    <p6eb1c22fb0c4f898d8236608a18df96 xmlns="7e83d2dc-68d1-4912-b76c-bebf2ac3755c">
      <Terms xmlns="http://schemas.microsoft.com/office/infopath/2007/PartnerControls"/>
    </p6eb1c22fb0c4f898d8236608a18df96>
    <ec89297846d242efab2fe5ea3581dbef xmlns="7e83d2dc-68d1-4912-b76c-bebf2ac3755c">
      <Terms xmlns="http://schemas.microsoft.com/office/infopath/2007/PartnerControls"/>
    </ec89297846d242efab2fe5ea3581dbef>
    <hb51427408e64abaa9a060a875d8049b xmlns="7e83d2dc-68d1-4912-b76c-bebf2ac3755c">
      <Terms xmlns="http://schemas.microsoft.com/office/infopath/2007/PartnerControls"/>
    </hb51427408e64abaa9a060a875d8049b>
  </documentManagement>
</p:properties>
</file>

<file path=customXml/itemProps1.xml><?xml version="1.0" encoding="utf-8"?>
<ds:datastoreItem xmlns:ds="http://schemas.openxmlformats.org/officeDocument/2006/customXml" ds:itemID="{E5483C79-7910-4AB9-8335-0C6AD183CA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83d2dc-68d1-4912-b76c-bebf2ac3755c"/>
    <ds:schemaRef ds:uri="8796b9fa-d9fc-49ee-bfe3-e8e3f6c8e6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8DB07D-AD6F-4DD4-A01E-18DEC5232268}">
  <ds:schemaRefs>
    <ds:schemaRef ds:uri="http://schemas.microsoft.com/sharepoint/v3/contenttype/forms"/>
  </ds:schemaRefs>
</ds:datastoreItem>
</file>

<file path=customXml/itemProps3.xml><?xml version="1.0" encoding="utf-8"?>
<ds:datastoreItem xmlns:ds="http://schemas.openxmlformats.org/officeDocument/2006/customXml" ds:itemID="{8CD54C68-920D-471B-A49A-DA93AF358AAE}">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microsoft.com/office/2006/documentManagement/types"/>
    <ds:schemaRef ds:uri="http://schemas.openxmlformats.org/package/2006/metadata/core-properties"/>
    <ds:schemaRef ds:uri="8796b9fa-d9fc-49ee-bfe3-e8e3f6c8e6b9"/>
    <ds:schemaRef ds:uri="7e83d2dc-68d1-4912-b76c-bebf2ac3755c"/>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 Cohen</dc:creator>
  <cp:keywords/>
  <dc:description/>
  <cp:lastModifiedBy>Angel Paruas</cp:lastModifiedBy>
  <cp:revision/>
  <cp:lastPrinted>2022-12-16T04:37:20Z</cp:lastPrinted>
  <dcterms:created xsi:type="dcterms:W3CDTF">2015-06-05T18:17:20Z</dcterms:created>
  <dcterms:modified xsi:type="dcterms:W3CDTF">2023-11-13T03:59:57Z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0x010100F61D1271329524498AFDDD32DE588E03</vt:lpwstr>
  </property>
  <property fmtid="{D5CDD505-2E9C-101B-9397-08002B2CF9AE}" pid="3" name="MediaServiceImageTags">
    <vt:lpwstr/>
  </property>
  <property fmtid="{D5CDD505-2E9C-101B-9397-08002B2CF9AE}" pid="4" name="Elements 1">
    <vt:lpwstr/>
  </property>
  <property fmtid="{D5CDD505-2E9C-101B-9397-08002B2CF9AE}" pid="5" name="Technology">
    <vt:lpwstr/>
  </property>
  <property fmtid="{D5CDD505-2E9C-101B-9397-08002B2CF9AE}" pid="6" name="Endpoint">
    <vt:lpwstr/>
  </property>
  <property fmtid="{D5CDD505-2E9C-101B-9397-08002B2CF9AE}" pid="7" name="Product">
    <vt:lpwstr/>
  </property>
  <property fmtid="{D5CDD505-2E9C-101B-9397-08002B2CF9AE}" pid="8" name="Operation">
    <vt:lpwstr/>
  </property>
  <property fmtid="{D5CDD505-2E9C-101B-9397-08002B2CF9AE}" pid="9" name="Business_x0020_Requirement_x0020_">
    <vt:lpwstr/>
  </property>
  <property fmtid="{D5CDD505-2E9C-101B-9397-08002B2CF9AE}" pid="10" name="Business Requirement ">
    <vt:lpwstr/>
  </property>
  <property fmtid="{D5CDD505-2E9C-101B-9397-08002B2CF9AE}" pid="11" name="Business Requirement">
    <vt:lpwstr/>
  </property>
  <property fmtid="{D5CDD505-2E9C-101B-9397-08002B2CF9AE}" pid="12" name="MSP Name">
    <vt:lpwstr/>
  </property>
</Properties>
</file>